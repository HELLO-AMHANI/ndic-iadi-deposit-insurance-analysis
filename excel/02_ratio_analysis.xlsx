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" sheetId="2" r:id="rId6"/>
    <sheet state="visible" name="Ratio Pivot" sheetId="3" r:id="rId7"/>
    <sheet state="visible" name="FAR Chart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<sst xmlns="http://schemas.openxmlformats.org/spreadsheetml/2006/main" count="60" uniqueCount="53">
  <si>
    <t>year</t>
  </si>
  <si>
    <t>fund_balance_bn</t>
  </si>
  <si>
    <t>insured_deposits_bn</t>
  </si>
  <si>
    <t>Python FAR</t>
  </si>
  <si>
    <t>FAR (=B/C)</t>
  </si>
  <si>
    <t>coverage_limit_usd</t>
  </si>
  <si>
    <t>gdp_per_capita</t>
  </si>
  <si>
    <t>Python Coverage</t>
  </si>
  <si>
    <t>Coverage (=F/G)</t>
  </si>
  <si>
    <t>claims_paid_bn</t>
  </si>
  <si>
    <t>mean_premium_rate_pct</t>
  </si>
  <si>
    <t>num_banks</t>
  </si>
  <si>
    <t>total_deposits_tn</t>
  </si>
  <si>
    <t>total_loans_tn</t>
  </si>
  <si>
    <t>npl_tn</t>
  </si>
  <si>
    <t>profit_before_tax_tn</t>
  </si>
  <si>
    <t>tier1_capital_tn</t>
  </si>
  <si>
    <t>npl_ratio_pct</t>
  </si>
  <si>
    <t>npl_to_equity_pct</t>
  </si>
  <si>
    <t>car_pct</t>
  </si>
  <si>
    <t>liquidity_ratio_pct</t>
  </si>
  <si>
    <t>loan_deposit_ratio_pct</t>
  </si>
  <si>
    <t>roa_pct</t>
  </si>
  <si>
    <t>roe_pct</t>
  </si>
  <si>
    <t>gdp_growth</t>
  </si>
  <si>
    <t>inflation</t>
  </si>
  <si>
    <t>exchange_rate</t>
  </si>
  <si>
    <t>fund_adequacy_ratio</t>
  </si>
  <si>
    <t>fund_balance_usd</t>
  </si>
  <si>
    <t>insured_deposits_usd</t>
  </si>
  <si>
    <t>iadi_avg_fund_adequacy</t>
  </si>
  <si>
    <t>iadi_med_fund_adequacy</t>
  </si>
  <si>
    <t>iadi_avg_coverage_usd</t>
  </si>
  <si>
    <t>local_fund_adequacy_ratio</t>
  </si>
  <si>
    <t>coverage_ratio</t>
  </si>
  <si>
    <t>claims_intensity</t>
  </si>
  <si>
    <t>premium_efficiency</t>
  </si>
  <si>
    <t>fund_growth_rate</t>
  </si>
  <si>
    <t>fund_adequacy_gap</t>
  </si>
  <si>
    <t>iadi_reported_gap</t>
  </si>
  <si>
    <t>gdp_growth_lag1</t>
  </si>
  <si>
    <t>inflation_lag1</t>
  </si>
  <si>
    <t>exchange_rate_lag1</t>
  </si>
  <si>
    <t>fund_stress_flag</t>
  </si>
  <si>
    <t>AVERAGE of local_fund_adequacy_ratio</t>
  </si>
  <si>
    <t>AVERAGE of fund_adequacy_ratio</t>
  </si>
  <si>
    <t>AVERAGE of iadi_avg_fund_adequacy</t>
  </si>
  <si>
    <t>AVERAGE of coverage_ratio</t>
  </si>
  <si>
    <t>AVERAGE of claims_intensity</t>
  </si>
  <si>
    <t>Grand Total</t>
  </si>
  <si>
    <t>NDIC Local FAR</t>
  </si>
  <si>
    <t>IADI Reported FAR (Nigeria)</t>
  </si>
  <si>
    <t>IADI Peer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</si>
</sst>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Arial black"/>
              </a:defRPr>
            </a:pPr>
            <a:r>
              <a:rPr b="0" i="0" sz="1600">
                <a:solidFill>
                  <a:srgbClr val="757575"/>
                </a:solidFill>
                <a:latin typeface="Arial black"/>
              </a:rPr>
              <a:t>NDIC Fund Adequacy Ratio vs IADI Member Average 2010–2024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'FAR Chart'!$B$1</c:f>
            </c:strRef>
          </c:tx>
          <c:spPr>
            <a:ln cmpd="sng" w="9525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'FAR Chart'!$A$2:$A$16</c:f>
            </c:strRef>
          </c:cat>
          <c:val>
            <c:numRef>
              <c:f>'FAR Chart'!$B$2:$B$16</c:f>
              <c:numCache/>
            </c:numRef>
          </c:val>
          <c:smooth val="0"/>
        </c:ser>
        <c:ser>
          <c:idx val="1"/>
          <c:order val="1"/>
          <c:tx>
            <c:strRef>
              <c:f>'FAR Chart'!$C$1</c:f>
            </c:strRef>
          </c:tx>
          <c:spPr>
            <a:ln cmpd="sng" w="9525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cat>
            <c:strRef>
              <c:f>'FAR Chart'!$A$2:$A$16</c:f>
            </c:strRef>
          </c:cat>
          <c:val>
            <c:numRef>
              <c:f>'FAR Chart'!$C$2:$C$16</c:f>
              <c:numCache/>
            </c:numRef>
          </c:val>
          <c:smooth val="0"/>
        </c:ser>
        <c:ser>
          <c:idx val="2"/>
          <c:order val="2"/>
          <c:tx>
            <c:strRef>
              <c:f>'FAR Chart'!$D$1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'FAR Chart'!$A$2:$A$16</c:f>
            </c:strRef>
          </c:cat>
          <c:val>
            <c:numRef>
              <c:f>'FAR Chart'!$D$2:$D$16</c:f>
              <c:numCache/>
            </c:numRef>
          </c:val>
          <c:smooth val="0"/>
        </c:ser>
        <c:axId val="1356624710"/>
        <c:axId val="1239243053"/>
      </c:lineChart>
      <c:catAx>
        <c:axId val="1356624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243053"/>
      </c:catAx>
      <c:valAx>
        <c:axId val="1239243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624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0</xdr:row>
      <xdr:rowOff>0</xdr:rowOff>
    </xdr:from>
    <xdr:ext cx="5762625" cy="3333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N16" sheet="Pivot"/>
  </cacheSource>
  <cacheFields>
    <cacheField name="year" numFmtId="0">
      <sharedItems containsSemiMixedTypes="0" containsString="0" containsNumber="1" containsInteger="1"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</sharedItems>
    </cacheField>
    <cacheField name="fund_balance_bn" numFmtId="0">
      <sharedItems containsSemiMixedTypes="0" containsString="0" containsNumber="1">
        <n v="295.72"/>
        <n v="356.88"/>
        <n v="425.21"/>
        <n v="508.06"/>
        <n v="614.16"/>
        <n v="725.58"/>
        <n v="827.89"/>
        <n v="955.18"/>
        <n v="1095.23"/>
        <n v="1201.34"/>
        <n v="1372.85"/>
        <n v="1520.86"/>
        <n v="1762.74"/>
        <n v="2006.62"/>
        <n v="2279.36"/>
      </sharedItems>
    </cacheField>
    <cacheField name="insured_deposits_bn" numFmtId="0">
      <sharedItems containsSemiMixedTypes="0" containsString="0" containsNumber="1">
        <n v="1310.64"/>
        <n v="1001.94"/>
        <n v="2310.13"/>
        <n v="1279.56"/>
        <n v="1375.79"/>
        <n v="1535.08"/>
        <n v="1407.91"/>
        <n v="1601.12"/>
        <n v="1968.6"/>
        <n v="2105.98"/>
        <n v="2235.45"/>
        <n v="2577.12"/>
        <n v="2946.6"/>
        <n v="4324.96"/>
        <n v="25263.0"/>
      </sharedItems>
    </cacheField>
    <cacheField name="claims_paid_bn" numFmtId="0">
      <sharedItems containsSemiMixedTypes="0" containsString="0" containsNumber="1">
        <n v="7.6"/>
        <n v="6.68"/>
        <n v="6.82"/>
        <n v="6.83"/>
        <n v="6.8"/>
        <n v="8.25"/>
        <n v="8.26"/>
        <n v="8.27"/>
        <n v="8.28"/>
        <n v="63.21"/>
      </sharedItems>
    </cacheField>
    <cacheField name="mean_premium_rate_pct" numFmtId="0">
      <sharedItems containsSemiMixedTypes="0" containsString="0" containsNumber="1">
        <n v="0.64"/>
        <n v="0.55"/>
        <n v="0.52"/>
        <n v="0.5"/>
        <n v="0.48"/>
        <n v="0.4"/>
        <n v="0.43"/>
        <n v="0.46"/>
        <n v="0.45"/>
        <n v="0.42"/>
        <n v="0.41"/>
      </sharedItems>
    </cacheField>
    <cacheField name="num_banks" numFmtId="0">
      <sharedItems containsSemiMixedTypes="0" containsString="0" containsNumber="1" containsInteger="1">
        <n v="24.0"/>
        <n v="21.0"/>
        <n v="22.0"/>
        <n v="23.0"/>
        <n v="26.0"/>
      </sharedItems>
    </cacheField>
    <cacheField name="total_deposits_tn" numFmtId="0">
      <sharedItems containsSemiMixedTypes="0" containsString="0" containsNumber="1">
        <n v="10.84"/>
        <n v="12.33"/>
        <n v="14.39"/>
        <n v="16.77"/>
        <n v="18.02"/>
        <n v="17.51"/>
        <n v="18.54"/>
        <n v="19.38"/>
        <n v="21.73"/>
        <n v="24.09"/>
        <n v="32.11"/>
        <n v="38.4"/>
        <n v="45.5"/>
        <n v="71.58"/>
        <n v="99.62"/>
      </sharedItems>
    </cacheField>
    <cacheField name="total_loans_tn" numFmtId="0">
      <sharedItems containsSemiMixedTypes="0" containsString="0" containsNumber="1">
        <n v="7.779"/>
        <n v="7.27"/>
        <n v="8.03"/>
        <n v="10.73"/>
        <n v="12.63"/>
        <n v="13.33"/>
        <n v="16.26"/>
        <n v="16.0"/>
        <n v="15.29"/>
        <n v="16.54"/>
        <n v="20.37"/>
        <n v="24.57"/>
        <n v="29.7"/>
        <n v="45.43"/>
        <n v="59.73"/>
      </sharedItems>
    </cacheField>
    <cacheField name="npl_tn" numFmtId="0">
      <sharedItems containsSemiMixedTypes="0" containsString="0" containsNumber="1">
        <n v="1.17"/>
        <n v="0.36"/>
        <n v="0.28"/>
        <n v="0.32"/>
        <n v="0.35"/>
        <n v="0.65"/>
        <n v="2.08"/>
        <n v="2.36"/>
        <n v="1.79"/>
        <n v="1.06"/>
        <n v="1.25"/>
        <n v="1.22"/>
        <n v="1.3"/>
        <n v="1.849"/>
        <n v="2.688"/>
      </sharedItems>
    </cacheField>
    <cacheField name="profit_before_tax_tn" numFmtId="0">
      <sharedItems containsSemiMixedTypes="0" containsString="0" containsNumber="1">
        <n v="0.61"/>
        <n v="-0.06"/>
        <n v="0.45"/>
        <n v="0.48"/>
        <n v="0.6"/>
        <n v="0.63"/>
        <n v="0.44"/>
        <n v="0.68"/>
        <n v="0.73"/>
        <n v="0.88"/>
        <n v="0.89"/>
        <n v="0.81"/>
        <n v="1.05"/>
        <n v="29.84"/>
        <n v="52.64"/>
      </sharedItems>
    </cacheField>
    <cacheField name="tier1_capital_tn" numFmtId="0">
      <sharedItems containsSemiMixedTypes="0" containsString="0" containsNumber="1">
        <n v="3.12"/>
        <n v="1.93"/>
        <n v="2.32"/>
        <n v="2.75"/>
        <n v="2.44"/>
        <n v="2.78"/>
        <n v="2.65"/>
        <n v="1.76"/>
        <n v="2.83"/>
        <n v="2.91"/>
        <n v="3.19"/>
        <n v="3.6"/>
        <n v="3.9"/>
        <n v="4.8"/>
        <n v="9.271"/>
      </sharedItems>
    </cacheField>
    <cacheField name="npl_ratio_pct" numFmtId="0">
      <sharedItems containsSemiMixedTypes="0" containsString="0" containsNumber="1">
        <n v="15.04"/>
        <n v="4.95"/>
        <n v="3.51"/>
        <n v="3.23"/>
        <n v="2.81"/>
        <n v="4.88"/>
        <n v="12.8"/>
        <n v="14.84"/>
        <n v="11.7"/>
        <n v="6.06"/>
        <n v="6.13"/>
        <n v="4.94"/>
        <n v="4.21"/>
        <n v="4.07"/>
        <n v="4.5"/>
      </sharedItems>
    </cacheField>
    <cacheField name="npl_to_equity_pct" numFmtId="0">
      <sharedItems containsSemiMixedTypes="0" containsString="0" containsNumber="1">
        <n v="2.51"/>
        <n v="17.13"/>
        <n v="14.34"/>
        <n v="12.33"/>
        <n v="12.01"/>
        <n v="12.79"/>
        <n v="43.84"/>
        <n v="69.21"/>
        <n v="57.5"/>
        <n v="32.97"/>
        <n v="35.61"/>
        <n v="4.94"/>
        <n v="29.39"/>
        <n v="37.52"/>
        <n v="29.17"/>
      </sharedItems>
    </cacheField>
    <cacheField name="car_pct" numFmtId="0">
      <sharedItems containsSemiMixedTypes="0" containsString="0" containsNumber="1">
        <n v="4.06"/>
        <n v="17.71"/>
        <n v="18.07"/>
        <n v="17.18"/>
        <n v="15.92"/>
        <n v="17.66"/>
        <n v="14.78"/>
        <n v="10.23"/>
        <n v="15.26"/>
        <n v="14.54"/>
        <n v="15.05"/>
        <n v="14.53"/>
        <n v="13.76"/>
        <n v="13.13"/>
        <n v="15.25"/>
      </sharedItems>
    </cacheField>
    <cacheField name="liquidity_ratio_pct" numFmtId="0">
      <sharedItems containsSemiMixedTypes="0" containsString="0" containsNumber="1">
        <n v="51.77"/>
        <n v="69.29"/>
        <n v="68.01"/>
        <n v="50.63"/>
        <n v="53.65"/>
        <n v="48.63"/>
        <n v="43.93"/>
        <n v="45.56"/>
        <n v="51.87"/>
        <n v="45.45"/>
        <n v="44.44"/>
        <n v="41.33"/>
        <n v="44.12"/>
        <n v="43.98"/>
        <n v="49.96"/>
      </sharedItems>
    </cacheField>
    <cacheField name="loan_deposit_ratio_pct" numFmtId="0">
      <sharedItems containsSemiMixedTypes="0" containsString="0" containsNumber="1">
        <n v="66.13"/>
        <n v="55.95"/>
        <n v="54.29"/>
        <n v="59.96"/>
        <n v="68.11"/>
        <n v="73.76"/>
        <n v="87.29"/>
        <n v="72.3"/>
        <n v="64.69"/>
        <n v="68.68"/>
        <n v="59.56"/>
        <n v="54.16"/>
        <n v="65.3"/>
        <n v="63.48"/>
        <n v="60.32"/>
      </sharedItems>
    </cacheField>
    <cacheField name="roa_pct" numFmtId="0">
      <sharedItems containsSemiMixedTypes="0" containsString="0" containsNumber="1">
        <n v="3.91"/>
        <n v="0.04"/>
        <n v="2.62"/>
        <n v="2.15"/>
        <n v="2.29"/>
        <n v="2.34"/>
        <n v="1.48"/>
        <n v="0.48"/>
        <n v="0.88"/>
        <n v="0.37"/>
        <n v="0.02"/>
        <n v="1.4"/>
        <n v="1.9"/>
        <n v="3.15"/>
        <n v="3.49"/>
      </sharedItems>
    </cacheField>
    <cacheField name="roe_pct" numFmtId="0">
      <sharedItems containsSemiMixedTypes="0" containsString="0" containsNumber="1">
        <n v="162.98"/>
        <n v="0.28"/>
        <n v="22.2"/>
        <n v="19.14"/>
        <n v="20.34"/>
        <n v="19.78"/>
        <n v="12.56"/>
        <n v="4.7"/>
        <n v="9.73"/>
        <n v="0.07"/>
        <n v="0.21"/>
        <n v="17.2"/>
        <n v="23.8"/>
        <n v="49.13"/>
        <n v="56.14"/>
      </sharedItems>
    </cacheField>
    <cacheField name="gdp_growth" numFmtId="0">
      <sharedItems containsSemiMixedTypes="0" containsString="0" containsNumber="1">
        <n v="8.01"/>
        <n v="5.31"/>
        <n v="4.21"/>
        <n v="6.67"/>
        <n v="6.31"/>
        <n v="2.65"/>
        <n v="-1.62"/>
        <n v="0.81"/>
        <n v="1.93"/>
        <n v="2.21"/>
        <n v="-1.92"/>
        <n v="3.4"/>
        <n v="3.27"/>
        <n v="2.86"/>
        <n v="3.3"/>
      </sharedItems>
    </cacheField>
    <cacheField name="inflation" numFmtId="0">
      <sharedItems containsSemiMixedTypes="0" containsString="0" containsNumber="1">
        <n v="13.72"/>
        <n v="10.84"/>
        <n v="12.22"/>
        <n v="8.48"/>
        <n v="8.06"/>
        <n v="9.01"/>
        <n v="15.68"/>
        <n v="16.52"/>
        <n v="12.09"/>
        <n v="11.4"/>
        <n v="13.25"/>
        <n v="16.95"/>
        <n v="18.85"/>
        <n v="24.66"/>
        <n v="33.2"/>
      </sharedItems>
    </cacheField>
    <cacheField name="exchange_rate" numFmtId="0">
      <sharedItems containsSemiMixedTypes="0" containsString="0" containsNumber="1">
        <n v="150.3"/>
        <n v="153.86"/>
        <n v="157.5"/>
        <n v="157.31"/>
        <n v="158.55"/>
        <n v="192.44"/>
        <n v="253.49"/>
        <n v="305.79"/>
        <n v="306.08"/>
        <n v="306.92"/>
        <n v="358.81"/>
        <n v="401.15"/>
        <n v="425.98"/>
        <n v="645.19"/>
        <n v="1478.97"/>
      </sharedItems>
    </cacheField>
    <cacheField name="gdp_per_capita" numFmtId="0">
      <sharedItems containsSemiMixedTypes="0" containsString="0" containsNumber="1" containsInteger="1">
        <n v="2203.0"/>
        <n v="2543.0"/>
        <n v="2753.0"/>
        <n v="2971.0"/>
        <n v="3203.0"/>
        <n v="2731.0"/>
        <n v="2176.0"/>
        <n v="1969.0"/>
        <n v="2028.0"/>
        <n v="2229.0"/>
        <n v="1997.0"/>
        <n v="2065.0"/>
        <n v="2184.0"/>
        <n v="1481.0"/>
        <n v="940.0"/>
      </sharedItems>
    </cacheField>
    <cacheField name="fund_adequacy_ratio" numFmtId="0">
      <sharedItems containsSemiMixedTypes="0" containsString="0" containsNumber="1">
        <n v="0.2256"/>
        <n v="0.3562"/>
        <n v="0.1841"/>
        <n v="0.3971"/>
        <n v="0.4464"/>
        <n v="0.4727"/>
        <n v="0.588"/>
        <n v="0.5966"/>
        <n v="0.5563"/>
        <n v="0.5704"/>
        <n v="0.6141"/>
        <n v="0.5901"/>
        <n v="0.5982"/>
        <n v="0.464"/>
        <n v="0.4749"/>
      </sharedItems>
    </cacheField>
    <cacheField name="coverage_limit_usd" numFmtId="0">
      <sharedItems containsSemiMixedTypes="0" containsString="0" containsNumber="1" containsInteger="1">
        <n v="1331.0"/>
        <n v="3250.0"/>
        <n v="3175.0"/>
        <n v="3178.0"/>
        <n v="3154.0"/>
        <n v="2598.0"/>
        <n v="1972.0"/>
        <n v="1635.0"/>
        <n v="1634.0"/>
        <n v="1629.0"/>
        <n v="1393.0"/>
        <n v="1246.0"/>
        <n v="1174.0"/>
        <n v="775.0"/>
        <n v="3381.0"/>
      </sharedItems>
    </cacheField>
    <cacheField name="fund_balance_usd" numFmtId="0">
      <sharedItems containsSemiMixedTypes="0" containsString="0" containsNumber="1" containsInteger="1">
        <n v="1.967531603E9"/>
        <n v="2.319511244E9"/>
        <n v="2.699746032E9"/>
        <n v="3.229673892E9"/>
        <n v="3.873604541E9"/>
        <n v="3.77042195E9"/>
        <n v="3.265967099E9"/>
        <n v="3.123646947E9"/>
        <n v="3.578247517E9"/>
        <n v="3.914179591E9"/>
        <n v="3.826119673E9"/>
        <n v="3.791250156E9"/>
        <n v="4.1380816E9"/>
        <n v="3.1101226E9"/>
        <n v="1.541180687E9"/>
      </sharedItems>
    </cacheField>
    <cacheField name="insured_deposits_usd" numFmtId="0">
      <sharedItems containsSemiMixedTypes="0" containsString="0" containsNumber="1" containsInteger="1">
        <n v="8.720159681E9"/>
        <n v="6.512023918E9"/>
        <n v="1.4667492063E10"/>
        <n v="8.134002924E9"/>
        <n v="8.677325765E9"/>
        <n v="7.976927874E9"/>
        <n v="5.554104698E9"/>
        <n v="5.236011642E9"/>
        <n v="6.431651856E9"/>
        <n v="6.861657761E9"/>
        <n v="6.230177531E9"/>
        <n v="6.424330051E9"/>
        <n v="6.917226161E9"/>
        <n v="6.703389699E9"/>
        <n v="3.245501937E9"/>
      </sharedItems>
    </cacheField>
    <cacheField name="iadi_avg_fund_adequacy" numFmtId="0">
      <sharedItems containsSemiMixedTypes="0" containsString="0" containsNumber="1">
        <n v="0.0400785714285714"/>
        <n v="0.0492714285714285"/>
        <n v="0.0382571428571428"/>
        <n v="0.0531428571428571"/>
        <n v="0.0579571428571428"/>
        <n v="0.0613428571428571"/>
        <n v="0.0707785714285714"/>
        <n v="0.0714357142857142"/>
        <n v="0.0694714285714285"/>
        <n v="0.0713"/>
        <n v="0.0726499999999999"/>
        <n v="0.0721428571428571"/>
        <n v="0.0739571428571428"/>
        <n v="0.0656571428571428"/>
        <n v="0.0658357142857142"/>
      </sharedItems>
    </cacheField>
    <cacheField name="iadi_med_fund_adequacy" numFmtId="0">
      <sharedItems containsSemiMixedTypes="0" containsString="0" containsNumber="1">
        <n v="0.0215"/>
        <n v="0.0224"/>
        <n v="0.02335"/>
        <n v="0.0231"/>
        <n v="0.0242"/>
        <n v="0.0253"/>
        <n v="0.0266"/>
        <n v="0.0277"/>
        <n v="0.0286"/>
        <n v="0.02435"/>
        <n v="0.0245"/>
        <n v="0.0254"/>
        <n v="0.0264"/>
        <n v="0.02355"/>
      </sharedItems>
    </cacheField>
    <cacheField name="iadi_avg_coverage_usd" numFmtId="0">
      <sharedItems containsSemiMixedTypes="0" containsString="0" containsNumber="1">
        <n v="64114.8571428571"/>
        <n v="71173.3571428571"/>
        <n v="69459.7857142857"/>
        <n v="70048.1428571428"/>
        <n v="67531.2142857142"/>
        <n v="60671.4285714285"/>
        <n v="60852.0"/>
        <n v="61720.5"/>
        <n v="60657.7142857142"/>
        <n v="60161.0714285714"/>
        <n v="59623.2142857142"/>
        <n v="60258.6428571428"/>
        <n v="56938.5714285714"/>
        <n v="56194.1428571428"/>
        <n v="55237.6428571428"/>
      </sharedItems>
    </cacheField>
    <cacheField name="local_fund_adequacy_ratio" numFmtId="0">
      <sharedItems containsSemiMixedTypes="0" containsString="0" containsNumber="1">
        <n v="0.2256"/>
        <n v="0.3562"/>
        <n v="0.1841"/>
        <n v="0.3971"/>
        <n v="0.4464"/>
        <n v="0.4727"/>
        <n v="0.588"/>
        <n v="0.5966"/>
        <n v="0.5563"/>
        <n v="0.5704"/>
        <n v="0.6141"/>
        <n v="0.5901"/>
        <n v="0.5982"/>
        <n v="0.464"/>
        <n v="0.0902"/>
      </sharedItems>
    </cacheField>
    <cacheField name="coverage_ratio" numFmtId="0">
      <sharedItems containsSemiMixedTypes="0" containsString="0" containsNumber="1">
        <n v="0.6042"/>
        <n v="1.278"/>
        <n v="1.1533"/>
        <n v="1.0697"/>
        <n v="0.9847"/>
        <n v="0.9513"/>
        <n v="0.9062"/>
        <n v="0.8304"/>
        <n v="0.8057"/>
        <n v="0.7308"/>
        <n v="0.6975"/>
        <n v="0.6034"/>
        <n v="0.5375"/>
        <n v="0.5233"/>
        <n v="3.5968"/>
      </sharedItems>
    </cacheField>
    <cacheField name="claims_intensity" numFmtId="0">
      <sharedItems containsSemiMixedTypes="0" containsString="0" containsNumber="1">
        <n v="0.0257"/>
        <n v="0.0187"/>
        <n v="0.016"/>
        <n v="0.0134"/>
        <n v="0.0111"/>
        <n v="0.0094"/>
        <n v="0.0082"/>
        <n v="0.0086"/>
        <n v="0.0075"/>
        <n v="0.0069"/>
        <n v="0.006"/>
        <n v="0.0054"/>
        <n v="0.0047"/>
        <n v="0.0041"/>
        <n v="0.0277"/>
      </sharedItems>
    </cacheField>
    <cacheField name="premium_efficiency" numFmtId="0">
      <sharedItems containsSemiMixedTypes="0" containsString="0" containsNumber="1">
        <n v="0.0064"/>
        <n v="0.0055"/>
        <n v="0.0052"/>
        <n v="0.005"/>
        <n v="0.0048"/>
        <n v="0.004"/>
        <n v="0.0043"/>
        <n v="0.0046"/>
        <n v="0.0045"/>
        <n v="0.0042"/>
        <n v="0.0041"/>
      </sharedItems>
    </cacheField>
    <cacheField name="fund_growth_rate" numFmtId="0">
      <sharedItems containsString="0" containsBlank="1" containsNumber="1">
        <m/>
        <n v="20.6817"/>
        <n v="19.1465"/>
        <n v="19.4845"/>
        <n v="20.8834"/>
        <n v="18.1419"/>
        <n v="14.1004"/>
        <n v="15.3752"/>
        <n v="14.6622"/>
        <n v="9.6884"/>
        <n v="14.2766"/>
        <n v="10.7812"/>
        <n v="15.9042"/>
        <n v="13.8353"/>
        <n v="13.592"/>
      </sharedItems>
    </cacheField>
    <cacheField name="fund_adequacy_gap" numFmtId="0">
      <sharedItems containsSemiMixedTypes="0" containsString="0" containsNumber="1">
        <n v="0.1855"/>
        <n v="0.3069"/>
        <n v="0.1458"/>
        <n v="0.344"/>
        <n v="0.3884"/>
        <n v="0.4114"/>
        <n v="0.5172"/>
        <n v="0.5252"/>
        <n v="0.4868"/>
        <n v="0.4991"/>
        <n v="0.5415"/>
        <n v="0.518"/>
        <n v="0.5242"/>
        <n v="0.3983"/>
        <n v="0.0244"/>
      </sharedItems>
    </cacheField>
    <cacheField name="iadi_reported_gap" numFmtId="0">
      <sharedItems containsSemiMixedTypes="0" containsString="0" containsNumber="1">
        <n v="0.0"/>
        <n v="-0.3847"/>
      </sharedItems>
    </cacheField>
    <cacheField name="gdp_growth_lag1" numFmtId="0">
      <sharedItems containsString="0" containsBlank="1" containsNumber="1">
        <m/>
        <n v="8.01"/>
        <n v="5.31"/>
        <n v="4.21"/>
        <n v="6.67"/>
        <n v="6.31"/>
        <n v="2.65"/>
        <n v="-1.62"/>
        <n v="0.81"/>
        <n v="1.93"/>
        <n v="2.21"/>
        <n v="-1.92"/>
        <n v="3.4"/>
        <n v="3.27"/>
        <n v="2.86"/>
      </sharedItems>
    </cacheField>
    <cacheField name="inflation_lag1" numFmtId="0">
      <sharedItems containsString="0" containsBlank="1" containsNumber="1">
        <m/>
        <n v="13.72"/>
        <n v="10.84"/>
        <n v="12.22"/>
        <n v="8.48"/>
        <n v="8.06"/>
        <n v="9.01"/>
        <n v="15.68"/>
        <n v="16.52"/>
        <n v="12.09"/>
        <n v="11.4"/>
        <n v="13.25"/>
        <n v="16.95"/>
        <n v="18.85"/>
        <n v="24.66"/>
      </sharedItems>
    </cacheField>
    <cacheField name="exchange_rate_lag1" numFmtId="0">
      <sharedItems containsString="0" containsBlank="1" containsNumber="1">
        <m/>
        <n v="150.3"/>
        <n v="153.86"/>
        <n v="157.5"/>
        <n v="157.31"/>
        <n v="158.55"/>
        <n v="192.44"/>
        <n v="253.49"/>
        <n v="305.79"/>
        <n v="306.08"/>
        <n v="306.92"/>
        <n v="358.81"/>
        <n v="401.15"/>
        <n v="425.98"/>
        <n v="645.19"/>
      </sharedItems>
    </cacheField>
    <cacheField name="fund_stress_flag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atio Pivot" cacheId="0" dataCaption="" compact="0" compactData="0">
  <location ref="A1:F17" firstHeaderRow="0" firstDataRow="2" firstDataCol="0"/>
  <pivotFields>
    <pivotField name="yea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und_balance_b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sured_deposits_b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laims_paid_b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ean_premium_rat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um_bank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deposits_t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otal_loans_t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pl_t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fit_before_tax_t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er1_capital_t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pl_ratio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pl_to_equity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r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iquidity_ratio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an_deposit_ratio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oa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o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dp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fl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xchange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dp_per_capi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und_adequacy_rat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verage_limi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und_balanc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sured_deposits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adi_avg_fund_adequac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adi_med_fund_adequa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adi_avg_coverag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ocal_fund_adequacy_rat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verage_rat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laims_intens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emium_effici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und_growth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und_adequacy_g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adi_reported_gap" compact="0" outline="0" multipleItemSelectionAllowed="1" showAll="0">
      <items>
        <item x="0"/>
        <item x="1"/>
        <item t="default"/>
      </items>
    </pivotField>
    <pivotField name="gdp_growth_la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flation_la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exchange_rate_la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und_stress_flag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dataFields>
    <dataField name="AVERAGE of local_fund_adequacy_ratio" fld="29" subtotal="average" baseField="0"/>
    <dataField name="AVERAGE of fund_adequacy_ratio" fld="22" subtotal="average" baseField="0"/>
    <dataField name="AVERAGE of iadi_avg_fund_adequacy" fld="26" subtotal="average" baseField="0"/>
    <dataField name="AVERAGE of coverage_ratio" fld="30" subtotal="average" baseField="0"/>
    <dataField name="AVERAGE of claims_intensity" fld="3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2010.0</v>
      </c>
      <c r="B2" s="2">
        <v>295.72</v>
      </c>
      <c r="C2" s="2">
        <v>1310.64</v>
      </c>
      <c r="D2" s="2">
        <v>0.2256</v>
      </c>
      <c r="E2" s="4">
        <f t="shared" ref="E2:E6" si="1">B2/C2</f>
        <v>0.2256302265</v>
      </c>
      <c r="F2" s="2">
        <v>1331.0</v>
      </c>
      <c r="G2" s="2">
        <v>2203.0</v>
      </c>
      <c r="H2" s="2">
        <v>0.6042</v>
      </c>
      <c r="I2" s="4">
        <f t="shared" ref="I2:I6" si="2">F2/G2</f>
        <v>0.6041761235</v>
      </c>
    </row>
    <row r="3">
      <c r="A3" s="2">
        <v>2014.0</v>
      </c>
      <c r="B3" s="2">
        <v>614.16</v>
      </c>
      <c r="C3" s="2">
        <v>1375.79</v>
      </c>
      <c r="D3" s="2">
        <v>0.4464</v>
      </c>
      <c r="E3" s="4">
        <f t="shared" si="1"/>
        <v>0.446405338</v>
      </c>
      <c r="F3" s="2">
        <v>3154.0</v>
      </c>
      <c r="G3" s="2">
        <v>3203.0</v>
      </c>
      <c r="H3" s="2">
        <v>0.9847</v>
      </c>
      <c r="I3" s="4">
        <f t="shared" si="2"/>
        <v>0.984701842</v>
      </c>
    </row>
    <row r="4">
      <c r="A4" s="2">
        <v>2018.0</v>
      </c>
      <c r="B4" s="2">
        <v>1095.23</v>
      </c>
      <c r="C4" s="2">
        <v>1968.6</v>
      </c>
      <c r="D4" s="2">
        <v>0.5563</v>
      </c>
      <c r="E4" s="4">
        <f t="shared" si="1"/>
        <v>0.5563496901</v>
      </c>
      <c r="F4" s="2">
        <v>1634.0</v>
      </c>
      <c r="G4" s="2">
        <v>2028.0</v>
      </c>
      <c r="H4" s="2">
        <v>0.8057</v>
      </c>
      <c r="I4" s="4">
        <f t="shared" si="2"/>
        <v>0.8057199211</v>
      </c>
    </row>
    <row r="5">
      <c r="A5" s="2">
        <v>2021.0</v>
      </c>
      <c r="B5" s="2">
        <v>1520.86</v>
      </c>
      <c r="C5" s="2">
        <v>2577.12</v>
      </c>
      <c r="D5" s="2">
        <v>0.5901</v>
      </c>
      <c r="E5" s="4">
        <f t="shared" si="1"/>
        <v>0.5901393804</v>
      </c>
      <c r="F5" s="2">
        <v>1246.0</v>
      </c>
      <c r="G5" s="2">
        <v>2065.0</v>
      </c>
      <c r="H5" s="2">
        <v>0.6034</v>
      </c>
      <c r="I5" s="4">
        <f t="shared" si="2"/>
        <v>0.6033898305</v>
      </c>
    </row>
    <row r="6">
      <c r="A6" s="2">
        <v>2024.0</v>
      </c>
      <c r="B6" s="2">
        <v>2279.36</v>
      </c>
      <c r="C6" s="2">
        <v>25263.0</v>
      </c>
      <c r="D6" s="2">
        <v>0.0902</v>
      </c>
      <c r="E6" s="4">
        <f t="shared" si="1"/>
        <v>0.09022523057</v>
      </c>
      <c r="F6" s="2">
        <v>3381.0</v>
      </c>
      <c r="G6" s="2">
        <v>940.0</v>
      </c>
      <c r="H6" s="2">
        <v>3.5968</v>
      </c>
      <c r="I6" s="4">
        <f t="shared" si="2"/>
        <v>3.596808511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6</v>
      </c>
      <c r="W1" s="3" t="s">
        <v>27</v>
      </c>
      <c r="X1" s="3" t="s">
        <v>5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</row>
    <row r="2">
      <c r="A2" s="5">
        <v>2010.0</v>
      </c>
      <c r="B2" s="5">
        <v>295.72</v>
      </c>
      <c r="C2" s="5">
        <v>1310.64</v>
      </c>
      <c r="D2" s="5">
        <v>7.6</v>
      </c>
      <c r="E2" s="5">
        <v>0.64</v>
      </c>
      <c r="F2" s="5">
        <v>24.0</v>
      </c>
      <c r="G2" s="5">
        <v>10.84</v>
      </c>
      <c r="H2" s="5">
        <v>7.779</v>
      </c>
      <c r="I2" s="5">
        <v>1.17</v>
      </c>
      <c r="J2" s="5">
        <v>0.61</v>
      </c>
      <c r="K2" s="5">
        <v>3.12</v>
      </c>
      <c r="L2" s="5">
        <v>15.04</v>
      </c>
      <c r="M2" s="5">
        <v>2.51</v>
      </c>
      <c r="N2" s="5">
        <v>4.06</v>
      </c>
      <c r="O2" s="5">
        <v>51.77</v>
      </c>
      <c r="P2" s="5">
        <v>66.13</v>
      </c>
      <c r="Q2" s="5">
        <v>3.91</v>
      </c>
      <c r="R2" s="5">
        <v>162.98</v>
      </c>
      <c r="S2" s="5">
        <v>8.01</v>
      </c>
      <c r="T2" s="5">
        <v>13.72</v>
      </c>
      <c r="U2" s="5">
        <v>150.3</v>
      </c>
      <c r="V2" s="5">
        <v>2203.0</v>
      </c>
      <c r="W2" s="5">
        <v>0.2256</v>
      </c>
      <c r="X2" s="5">
        <v>1331.0</v>
      </c>
      <c r="Y2" s="5">
        <v>1.967531603E9</v>
      </c>
      <c r="Z2" s="5">
        <v>8.720159681E9</v>
      </c>
      <c r="AA2" s="5">
        <v>0.0400785714285714</v>
      </c>
      <c r="AB2" s="5">
        <v>0.0215</v>
      </c>
      <c r="AC2" s="5">
        <v>64114.8571428571</v>
      </c>
      <c r="AD2" s="5">
        <v>0.2256</v>
      </c>
      <c r="AE2" s="5">
        <v>0.6042</v>
      </c>
      <c r="AF2" s="5">
        <v>0.0257</v>
      </c>
      <c r="AG2" s="5">
        <v>0.0064</v>
      </c>
      <c r="AH2" s="6"/>
      <c r="AI2" s="5">
        <v>0.1855</v>
      </c>
      <c r="AJ2" s="5">
        <v>0.0</v>
      </c>
      <c r="AK2" s="6"/>
      <c r="AL2" s="6"/>
      <c r="AM2" s="6"/>
      <c r="AN2" s="5">
        <v>1.0</v>
      </c>
    </row>
    <row r="3">
      <c r="A3" s="5">
        <v>2011.0</v>
      </c>
      <c r="B3" s="5">
        <v>356.88</v>
      </c>
      <c r="C3" s="5">
        <v>1001.94</v>
      </c>
      <c r="D3" s="5">
        <v>6.68</v>
      </c>
      <c r="E3" s="5">
        <v>0.55</v>
      </c>
      <c r="F3" s="5">
        <v>24.0</v>
      </c>
      <c r="G3" s="5">
        <v>12.33</v>
      </c>
      <c r="H3" s="5">
        <v>7.27</v>
      </c>
      <c r="I3" s="5">
        <v>0.36</v>
      </c>
      <c r="J3" s="5">
        <v>-0.06</v>
      </c>
      <c r="K3" s="5">
        <v>1.93</v>
      </c>
      <c r="L3" s="5">
        <v>4.95</v>
      </c>
      <c r="M3" s="5">
        <v>17.13</v>
      </c>
      <c r="N3" s="5">
        <v>17.71</v>
      </c>
      <c r="O3" s="5">
        <v>69.29</v>
      </c>
      <c r="P3" s="5">
        <v>55.95</v>
      </c>
      <c r="Q3" s="5">
        <v>0.04</v>
      </c>
      <c r="R3" s="5">
        <v>0.28</v>
      </c>
      <c r="S3" s="5">
        <v>5.31</v>
      </c>
      <c r="T3" s="5">
        <v>10.84</v>
      </c>
      <c r="U3" s="5">
        <v>153.86</v>
      </c>
      <c r="V3" s="5">
        <v>2543.0</v>
      </c>
      <c r="W3" s="5">
        <v>0.3562</v>
      </c>
      <c r="X3" s="5">
        <v>3250.0</v>
      </c>
      <c r="Y3" s="5">
        <v>2.319511244E9</v>
      </c>
      <c r="Z3" s="5">
        <v>6.512023918E9</v>
      </c>
      <c r="AA3" s="5">
        <v>0.0492714285714285</v>
      </c>
      <c r="AB3" s="5">
        <v>0.0224</v>
      </c>
      <c r="AC3" s="5">
        <v>71173.3571428571</v>
      </c>
      <c r="AD3" s="5">
        <v>0.3562</v>
      </c>
      <c r="AE3" s="5">
        <v>1.278</v>
      </c>
      <c r="AF3" s="5">
        <v>0.0187</v>
      </c>
      <c r="AG3" s="5">
        <v>0.0055</v>
      </c>
      <c r="AH3" s="5">
        <v>20.6817</v>
      </c>
      <c r="AI3" s="5">
        <v>0.3069</v>
      </c>
      <c r="AJ3" s="5">
        <v>0.0</v>
      </c>
      <c r="AK3" s="5">
        <v>8.01</v>
      </c>
      <c r="AL3" s="5">
        <v>13.72</v>
      </c>
      <c r="AM3" s="5">
        <v>150.3</v>
      </c>
      <c r="AN3" s="5">
        <v>1.0</v>
      </c>
    </row>
    <row r="4">
      <c r="A4" s="5">
        <v>2012.0</v>
      </c>
      <c r="B4" s="5">
        <v>425.21</v>
      </c>
      <c r="C4" s="5">
        <v>2310.13</v>
      </c>
      <c r="D4" s="5">
        <v>6.82</v>
      </c>
      <c r="E4" s="5">
        <v>0.52</v>
      </c>
      <c r="F4" s="5">
        <v>21.0</v>
      </c>
      <c r="G4" s="5">
        <v>14.39</v>
      </c>
      <c r="H4" s="5">
        <v>8.03</v>
      </c>
      <c r="I4" s="5">
        <v>0.28</v>
      </c>
      <c r="J4" s="5">
        <v>0.45</v>
      </c>
      <c r="K4" s="5">
        <v>2.32</v>
      </c>
      <c r="L4" s="5">
        <v>3.51</v>
      </c>
      <c r="M4" s="5">
        <v>14.34</v>
      </c>
      <c r="N4" s="5">
        <v>18.07</v>
      </c>
      <c r="O4" s="5">
        <v>68.01</v>
      </c>
      <c r="P4" s="5">
        <v>54.29</v>
      </c>
      <c r="Q4" s="5">
        <v>2.62</v>
      </c>
      <c r="R4" s="5">
        <v>22.2</v>
      </c>
      <c r="S4" s="5">
        <v>4.21</v>
      </c>
      <c r="T4" s="5">
        <v>12.22</v>
      </c>
      <c r="U4" s="5">
        <v>157.5</v>
      </c>
      <c r="V4" s="5">
        <v>2753.0</v>
      </c>
      <c r="W4" s="5">
        <v>0.1841</v>
      </c>
      <c r="X4" s="5">
        <v>3175.0</v>
      </c>
      <c r="Y4" s="5">
        <v>2.699746032E9</v>
      </c>
      <c r="Z4" s="5">
        <v>1.4667492063E10</v>
      </c>
      <c r="AA4" s="5">
        <v>0.0382571428571428</v>
      </c>
      <c r="AB4" s="5">
        <v>0.02335</v>
      </c>
      <c r="AC4" s="5">
        <v>69459.7857142857</v>
      </c>
      <c r="AD4" s="5">
        <v>0.1841</v>
      </c>
      <c r="AE4" s="5">
        <v>1.1533</v>
      </c>
      <c r="AF4" s="5">
        <v>0.016</v>
      </c>
      <c r="AG4" s="5">
        <v>0.0052</v>
      </c>
      <c r="AH4" s="5">
        <v>19.1465</v>
      </c>
      <c r="AI4" s="5">
        <v>0.1458</v>
      </c>
      <c r="AJ4" s="5">
        <v>0.0</v>
      </c>
      <c r="AK4" s="5">
        <v>5.31</v>
      </c>
      <c r="AL4" s="5">
        <v>10.84</v>
      </c>
      <c r="AM4" s="5">
        <v>153.86</v>
      </c>
      <c r="AN4" s="5">
        <v>1.0</v>
      </c>
    </row>
    <row r="5">
      <c r="A5" s="5">
        <v>2013.0</v>
      </c>
      <c r="B5" s="5">
        <v>508.06</v>
      </c>
      <c r="C5" s="5">
        <v>1279.56</v>
      </c>
      <c r="D5" s="5">
        <v>6.82</v>
      </c>
      <c r="E5" s="5">
        <v>0.5</v>
      </c>
      <c r="F5" s="5">
        <v>21.0</v>
      </c>
      <c r="G5" s="5">
        <v>16.77</v>
      </c>
      <c r="H5" s="5">
        <v>10.73</v>
      </c>
      <c r="I5" s="5">
        <v>0.32</v>
      </c>
      <c r="J5" s="5">
        <v>0.48</v>
      </c>
      <c r="K5" s="5">
        <v>2.75</v>
      </c>
      <c r="L5" s="5">
        <v>3.23</v>
      </c>
      <c r="M5" s="5">
        <v>12.33</v>
      </c>
      <c r="N5" s="5">
        <v>17.18</v>
      </c>
      <c r="O5" s="5">
        <v>50.63</v>
      </c>
      <c r="P5" s="5">
        <v>59.96</v>
      </c>
      <c r="Q5" s="5">
        <v>2.15</v>
      </c>
      <c r="R5" s="5">
        <v>19.14</v>
      </c>
      <c r="S5" s="5">
        <v>6.67</v>
      </c>
      <c r="T5" s="5">
        <v>8.48</v>
      </c>
      <c r="U5" s="5">
        <v>157.31</v>
      </c>
      <c r="V5" s="5">
        <v>2971.0</v>
      </c>
      <c r="W5" s="5">
        <v>0.3971</v>
      </c>
      <c r="X5" s="5">
        <v>3178.0</v>
      </c>
      <c r="Y5" s="5">
        <v>3.229673892E9</v>
      </c>
      <c r="Z5" s="5">
        <v>8.134002924E9</v>
      </c>
      <c r="AA5" s="5">
        <v>0.0531428571428571</v>
      </c>
      <c r="AB5" s="5">
        <v>0.0224</v>
      </c>
      <c r="AC5" s="5">
        <v>70048.1428571428</v>
      </c>
      <c r="AD5" s="5">
        <v>0.3971</v>
      </c>
      <c r="AE5" s="5">
        <v>1.0697</v>
      </c>
      <c r="AF5" s="5">
        <v>0.0134</v>
      </c>
      <c r="AG5" s="5">
        <v>0.005</v>
      </c>
      <c r="AH5" s="5">
        <v>19.4845</v>
      </c>
      <c r="AI5" s="5">
        <v>0.344</v>
      </c>
      <c r="AJ5" s="5">
        <v>0.0</v>
      </c>
      <c r="AK5" s="5">
        <v>4.21</v>
      </c>
      <c r="AL5" s="5">
        <v>12.22</v>
      </c>
      <c r="AM5" s="5">
        <v>157.5</v>
      </c>
      <c r="AN5" s="5">
        <v>1.0</v>
      </c>
    </row>
    <row r="6">
      <c r="A6" s="5">
        <v>2014.0</v>
      </c>
      <c r="B6" s="5">
        <v>614.16</v>
      </c>
      <c r="C6" s="5">
        <v>1375.79</v>
      </c>
      <c r="D6" s="5">
        <v>6.83</v>
      </c>
      <c r="E6" s="5">
        <v>0.48</v>
      </c>
      <c r="F6" s="5">
        <v>24.0</v>
      </c>
      <c r="G6" s="5">
        <v>18.02</v>
      </c>
      <c r="H6" s="5">
        <v>12.63</v>
      </c>
      <c r="I6" s="5">
        <v>0.35</v>
      </c>
      <c r="J6" s="5">
        <v>0.6</v>
      </c>
      <c r="K6" s="5">
        <v>2.44</v>
      </c>
      <c r="L6" s="5">
        <v>2.81</v>
      </c>
      <c r="M6" s="5">
        <v>12.01</v>
      </c>
      <c r="N6" s="5">
        <v>15.92</v>
      </c>
      <c r="O6" s="5">
        <v>53.65</v>
      </c>
      <c r="P6" s="5">
        <v>68.11</v>
      </c>
      <c r="Q6" s="5">
        <v>2.29</v>
      </c>
      <c r="R6" s="5">
        <v>20.34</v>
      </c>
      <c r="S6" s="5">
        <v>6.31</v>
      </c>
      <c r="T6" s="5">
        <v>8.06</v>
      </c>
      <c r="U6" s="5">
        <v>158.55</v>
      </c>
      <c r="V6" s="5">
        <v>3203.0</v>
      </c>
      <c r="W6" s="5">
        <v>0.4464</v>
      </c>
      <c r="X6" s="5">
        <v>3154.0</v>
      </c>
      <c r="Y6" s="5">
        <v>3.873604541E9</v>
      </c>
      <c r="Z6" s="5">
        <v>8.677325765E9</v>
      </c>
      <c r="AA6" s="5">
        <v>0.0579571428571428</v>
      </c>
      <c r="AB6" s="5">
        <v>0.0231</v>
      </c>
      <c r="AC6" s="5">
        <v>67531.2142857142</v>
      </c>
      <c r="AD6" s="5">
        <v>0.4464</v>
      </c>
      <c r="AE6" s="5">
        <v>0.9847</v>
      </c>
      <c r="AF6" s="5">
        <v>0.0111</v>
      </c>
      <c r="AG6" s="5">
        <v>0.0048</v>
      </c>
      <c r="AH6" s="5">
        <v>20.8834</v>
      </c>
      <c r="AI6" s="5">
        <v>0.3884</v>
      </c>
      <c r="AJ6" s="5">
        <v>0.0</v>
      </c>
      <c r="AK6" s="5">
        <v>6.67</v>
      </c>
      <c r="AL6" s="5">
        <v>8.48</v>
      </c>
      <c r="AM6" s="5">
        <v>157.31</v>
      </c>
      <c r="AN6" s="5">
        <v>1.0</v>
      </c>
    </row>
    <row r="7">
      <c r="A7" s="5">
        <v>2015.0</v>
      </c>
      <c r="B7" s="5">
        <v>725.58</v>
      </c>
      <c r="C7" s="5">
        <v>1535.08</v>
      </c>
      <c r="D7" s="5">
        <v>6.8</v>
      </c>
      <c r="E7" s="5">
        <v>0.4</v>
      </c>
      <c r="F7" s="5">
        <v>22.0</v>
      </c>
      <c r="G7" s="5">
        <v>17.51</v>
      </c>
      <c r="H7" s="5">
        <v>13.33</v>
      </c>
      <c r="I7" s="5">
        <v>0.65</v>
      </c>
      <c r="J7" s="5">
        <v>0.63</v>
      </c>
      <c r="K7" s="5">
        <v>2.78</v>
      </c>
      <c r="L7" s="5">
        <v>4.88</v>
      </c>
      <c r="M7" s="5">
        <v>12.79</v>
      </c>
      <c r="N7" s="5">
        <v>17.66</v>
      </c>
      <c r="O7" s="5">
        <v>48.63</v>
      </c>
      <c r="P7" s="5">
        <v>73.76</v>
      </c>
      <c r="Q7" s="5">
        <v>2.34</v>
      </c>
      <c r="R7" s="5">
        <v>19.78</v>
      </c>
      <c r="S7" s="5">
        <v>2.65</v>
      </c>
      <c r="T7" s="5">
        <v>9.01</v>
      </c>
      <c r="U7" s="5">
        <v>192.44</v>
      </c>
      <c r="V7" s="5">
        <v>2731.0</v>
      </c>
      <c r="W7" s="5">
        <v>0.4727</v>
      </c>
      <c r="X7" s="5">
        <v>2598.0</v>
      </c>
      <c r="Y7" s="5">
        <v>3.77042195E9</v>
      </c>
      <c r="Z7" s="5">
        <v>7.976927874E9</v>
      </c>
      <c r="AA7" s="5">
        <v>0.0613428571428571</v>
      </c>
      <c r="AB7" s="5">
        <v>0.0242</v>
      </c>
      <c r="AC7" s="5">
        <v>60671.4285714285</v>
      </c>
      <c r="AD7" s="5">
        <v>0.4727</v>
      </c>
      <c r="AE7" s="5">
        <v>0.9513</v>
      </c>
      <c r="AF7" s="5">
        <v>0.0094</v>
      </c>
      <c r="AG7" s="5">
        <v>0.004</v>
      </c>
      <c r="AH7" s="5">
        <v>18.1419</v>
      </c>
      <c r="AI7" s="5">
        <v>0.4114</v>
      </c>
      <c r="AJ7" s="5">
        <v>0.0</v>
      </c>
      <c r="AK7" s="5">
        <v>6.31</v>
      </c>
      <c r="AL7" s="5">
        <v>8.06</v>
      </c>
      <c r="AM7" s="5">
        <v>158.55</v>
      </c>
      <c r="AN7" s="5">
        <v>0.0</v>
      </c>
    </row>
    <row r="8">
      <c r="A8" s="5">
        <v>2016.0</v>
      </c>
      <c r="B8" s="5">
        <v>827.89</v>
      </c>
      <c r="C8" s="5">
        <v>1407.91</v>
      </c>
      <c r="D8" s="5">
        <v>6.8</v>
      </c>
      <c r="E8" s="5">
        <v>0.43</v>
      </c>
      <c r="F8" s="5">
        <v>22.0</v>
      </c>
      <c r="G8" s="5">
        <v>18.54</v>
      </c>
      <c r="H8" s="5">
        <v>16.26</v>
      </c>
      <c r="I8" s="5">
        <v>2.08</v>
      </c>
      <c r="J8" s="5">
        <v>0.44</v>
      </c>
      <c r="K8" s="5">
        <v>2.65</v>
      </c>
      <c r="L8" s="5">
        <v>12.8</v>
      </c>
      <c r="M8" s="5">
        <v>43.84</v>
      </c>
      <c r="N8" s="5">
        <v>14.78</v>
      </c>
      <c r="O8" s="5">
        <v>43.93</v>
      </c>
      <c r="P8" s="5">
        <v>87.29</v>
      </c>
      <c r="Q8" s="5">
        <v>1.48</v>
      </c>
      <c r="R8" s="5">
        <v>12.56</v>
      </c>
      <c r="S8" s="5">
        <v>-1.62</v>
      </c>
      <c r="T8" s="5">
        <v>15.68</v>
      </c>
      <c r="U8" s="5">
        <v>253.49</v>
      </c>
      <c r="V8" s="5">
        <v>2176.0</v>
      </c>
      <c r="W8" s="5">
        <v>0.588</v>
      </c>
      <c r="X8" s="5">
        <v>1972.0</v>
      </c>
      <c r="Y8" s="5">
        <v>3.265967099E9</v>
      </c>
      <c r="Z8" s="5">
        <v>5.554104698E9</v>
      </c>
      <c r="AA8" s="5">
        <v>0.0707785714285714</v>
      </c>
      <c r="AB8" s="5">
        <v>0.0253</v>
      </c>
      <c r="AC8" s="5">
        <v>60852.0</v>
      </c>
      <c r="AD8" s="5">
        <v>0.588</v>
      </c>
      <c r="AE8" s="5">
        <v>0.9062</v>
      </c>
      <c r="AF8" s="5">
        <v>0.0082</v>
      </c>
      <c r="AG8" s="5">
        <v>0.0043</v>
      </c>
      <c r="AH8" s="5">
        <v>14.1004</v>
      </c>
      <c r="AI8" s="5">
        <v>0.5172</v>
      </c>
      <c r="AJ8" s="5">
        <v>0.0</v>
      </c>
      <c r="AK8" s="5">
        <v>2.65</v>
      </c>
      <c r="AL8" s="5">
        <v>9.01</v>
      </c>
      <c r="AM8" s="5">
        <v>192.44</v>
      </c>
      <c r="AN8" s="5">
        <v>0.0</v>
      </c>
    </row>
    <row r="9">
      <c r="A9" s="5">
        <v>2017.0</v>
      </c>
      <c r="B9" s="5">
        <v>955.18</v>
      </c>
      <c r="C9" s="5">
        <v>1601.12</v>
      </c>
      <c r="D9" s="5">
        <v>8.25</v>
      </c>
      <c r="E9" s="5">
        <v>0.46</v>
      </c>
      <c r="F9" s="5">
        <v>22.0</v>
      </c>
      <c r="G9" s="5">
        <v>19.38</v>
      </c>
      <c r="H9" s="5">
        <v>16.0</v>
      </c>
      <c r="I9" s="5">
        <v>2.36</v>
      </c>
      <c r="J9" s="5">
        <v>0.68</v>
      </c>
      <c r="K9" s="5">
        <v>1.76</v>
      </c>
      <c r="L9" s="5">
        <v>14.84</v>
      </c>
      <c r="M9" s="5">
        <v>69.21</v>
      </c>
      <c r="N9" s="5">
        <v>10.23</v>
      </c>
      <c r="O9" s="5">
        <v>45.56</v>
      </c>
      <c r="P9" s="5">
        <v>72.3</v>
      </c>
      <c r="Q9" s="5">
        <v>0.48</v>
      </c>
      <c r="R9" s="5">
        <v>4.7</v>
      </c>
      <c r="S9" s="5">
        <v>0.81</v>
      </c>
      <c r="T9" s="5">
        <v>16.52</v>
      </c>
      <c r="U9" s="5">
        <v>305.79</v>
      </c>
      <c r="V9" s="5">
        <v>1969.0</v>
      </c>
      <c r="W9" s="5">
        <v>0.5966</v>
      </c>
      <c r="X9" s="5">
        <v>1635.0</v>
      </c>
      <c r="Y9" s="5">
        <v>3.123646947E9</v>
      </c>
      <c r="Z9" s="5">
        <v>5.236011642E9</v>
      </c>
      <c r="AA9" s="5">
        <v>0.0714357142857142</v>
      </c>
      <c r="AB9" s="5">
        <v>0.0266</v>
      </c>
      <c r="AC9" s="5">
        <v>61720.5</v>
      </c>
      <c r="AD9" s="5">
        <v>0.5966</v>
      </c>
      <c r="AE9" s="5">
        <v>0.8304</v>
      </c>
      <c r="AF9" s="5">
        <v>0.0086</v>
      </c>
      <c r="AG9" s="5">
        <v>0.0046</v>
      </c>
      <c r="AH9" s="5">
        <v>15.3752</v>
      </c>
      <c r="AI9" s="5">
        <v>0.5252</v>
      </c>
      <c r="AJ9" s="5">
        <v>0.0</v>
      </c>
      <c r="AK9" s="5">
        <v>-1.62</v>
      </c>
      <c r="AL9" s="5">
        <v>15.68</v>
      </c>
      <c r="AM9" s="5">
        <v>253.49</v>
      </c>
      <c r="AN9" s="5">
        <v>0.0</v>
      </c>
    </row>
    <row r="10">
      <c r="A10" s="5">
        <v>2018.0</v>
      </c>
      <c r="B10" s="5">
        <v>1095.23</v>
      </c>
      <c r="C10" s="5">
        <v>1968.6</v>
      </c>
      <c r="D10" s="5">
        <v>8.25</v>
      </c>
      <c r="E10" s="5">
        <v>0.45</v>
      </c>
      <c r="F10" s="5">
        <v>23.0</v>
      </c>
      <c r="G10" s="5">
        <v>21.73</v>
      </c>
      <c r="H10" s="5">
        <v>15.29</v>
      </c>
      <c r="I10" s="5">
        <v>1.79</v>
      </c>
      <c r="J10" s="5">
        <v>0.73</v>
      </c>
      <c r="K10" s="5">
        <v>2.83</v>
      </c>
      <c r="L10" s="5">
        <v>11.7</v>
      </c>
      <c r="M10" s="5">
        <v>57.5</v>
      </c>
      <c r="N10" s="5">
        <v>15.26</v>
      </c>
      <c r="O10" s="5">
        <v>51.87</v>
      </c>
      <c r="P10" s="5">
        <v>64.69</v>
      </c>
      <c r="Q10" s="5">
        <v>0.88</v>
      </c>
      <c r="R10" s="5">
        <v>9.73</v>
      </c>
      <c r="S10" s="5">
        <v>1.93</v>
      </c>
      <c r="T10" s="5">
        <v>12.09</v>
      </c>
      <c r="U10" s="5">
        <v>306.08</v>
      </c>
      <c r="V10" s="5">
        <v>2028.0</v>
      </c>
      <c r="W10" s="5">
        <v>0.5563</v>
      </c>
      <c r="X10" s="5">
        <v>1634.0</v>
      </c>
      <c r="Y10" s="5">
        <v>3.578247517E9</v>
      </c>
      <c r="Z10" s="5">
        <v>6.431651856E9</v>
      </c>
      <c r="AA10" s="5">
        <v>0.0694714285714285</v>
      </c>
      <c r="AB10" s="5">
        <v>0.0277</v>
      </c>
      <c r="AC10" s="5">
        <v>60657.7142857142</v>
      </c>
      <c r="AD10" s="5">
        <v>0.5563</v>
      </c>
      <c r="AE10" s="5">
        <v>0.8057</v>
      </c>
      <c r="AF10" s="5">
        <v>0.0075</v>
      </c>
      <c r="AG10" s="5">
        <v>0.0045</v>
      </c>
      <c r="AH10" s="5">
        <v>14.6622</v>
      </c>
      <c r="AI10" s="5">
        <v>0.4868</v>
      </c>
      <c r="AJ10" s="5">
        <v>0.0</v>
      </c>
      <c r="AK10" s="5">
        <v>0.81</v>
      </c>
      <c r="AL10" s="5">
        <v>16.52</v>
      </c>
      <c r="AM10" s="5">
        <v>305.79</v>
      </c>
      <c r="AN10" s="5">
        <v>0.0</v>
      </c>
    </row>
    <row r="11">
      <c r="A11" s="5">
        <v>2019.0</v>
      </c>
      <c r="B11" s="5">
        <v>1201.34</v>
      </c>
      <c r="C11" s="5">
        <v>2105.98</v>
      </c>
      <c r="D11" s="5">
        <v>8.26</v>
      </c>
      <c r="E11" s="5">
        <v>0.46</v>
      </c>
      <c r="F11" s="5">
        <v>23.0</v>
      </c>
      <c r="G11" s="5">
        <v>24.09</v>
      </c>
      <c r="H11" s="5">
        <v>16.54</v>
      </c>
      <c r="I11" s="5">
        <v>1.06</v>
      </c>
      <c r="J11" s="5">
        <v>0.88</v>
      </c>
      <c r="K11" s="5">
        <v>2.91</v>
      </c>
      <c r="L11" s="5">
        <v>6.06</v>
      </c>
      <c r="M11" s="5">
        <v>32.97</v>
      </c>
      <c r="N11" s="5">
        <v>14.54</v>
      </c>
      <c r="O11" s="5">
        <v>45.45</v>
      </c>
      <c r="P11" s="5">
        <v>68.68</v>
      </c>
      <c r="Q11" s="5">
        <v>0.37</v>
      </c>
      <c r="R11" s="5">
        <v>0.07</v>
      </c>
      <c r="S11" s="5">
        <v>2.21</v>
      </c>
      <c r="T11" s="5">
        <v>11.4</v>
      </c>
      <c r="U11" s="5">
        <v>306.92</v>
      </c>
      <c r="V11" s="5">
        <v>2229.0</v>
      </c>
      <c r="W11" s="5">
        <v>0.5704</v>
      </c>
      <c r="X11" s="5">
        <v>1629.0</v>
      </c>
      <c r="Y11" s="5">
        <v>3.914179591E9</v>
      </c>
      <c r="Z11" s="5">
        <v>6.861657761E9</v>
      </c>
      <c r="AA11" s="5">
        <v>0.0713</v>
      </c>
      <c r="AB11" s="5">
        <v>0.0286</v>
      </c>
      <c r="AC11" s="5">
        <v>60161.0714285714</v>
      </c>
      <c r="AD11" s="5">
        <v>0.5704</v>
      </c>
      <c r="AE11" s="5">
        <v>0.7308</v>
      </c>
      <c r="AF11" s="5">
        <v>0.0069</v>
      </c>
      <c r="AG11" s="5">
        <v>0.0046</v>
      </c>
      <c r="AH11" s="5">
        <v>9.6884</v>
      </c>
      <c r="AI11" s="5">
        <v>0.4991</v>
      </c>
      <c r="AJ11" s="5">
        <v>0.0</v>
      </c>
      <c r="AK11" s="5">
        <v>1.93</v>
      </c>
      <c r="AL11" s="5">
        <v>12.09</v>
      </c>
      <c r="AM11" s="5">
        <v>306.08</v>
      </c>
      <c r="AN11" s="5">
        <v>0.0</v>
      </c>
    </row>
    <row r="12">
      <c r="A12" s="5">
        <v>2020.0</v>
      </c>
      <c r="B12" s="5">
        <v>1372.85</v>
      </c>
      <c r="C12" s="5">
        <v>2235.45</v>
      </c>
      <c r="D12" s="5">
        <v>8.27</v>
      </c>
      <c r="E12" s="5">
        <v>0.42</v>
      </c>
      <c r="F12" s="5">
        <v>24.0</v>
      </c>
      <c r="G12" s="5">
        <v>32.11</v>
      </c>
      <c r="H12" s="5">
        <v>20.37</v>
      </c>
      <c r="I12" s="5">
        <v>1.25</v>
      </c>
      <c r="J12" s="5">
        <v>0.89</v>
      </c>
      <c r="K12" s="5">
        <v>3.19</v>
      </c>
      <c r="L12" s="5">
        <v>6.13</v>
      </c>
      <c r="M12" s="5">
        <v>35.61</v>
      </c>
      <c r="N12" s="5">
        <v>15.05</v>
      </c>
      <c r="O12" s="5">
        <v>44.44</v>
      </c>
      <c r="P12" s="5">
        <v>59.56</v>
      </c>
      <c r="Q12" s="5">
        <v>0.02</v>
      </c>
      <c r="R12" s="5">
        <v>0.21</v>
      </c>
      <c r="S12" s="5">
        <v>-1.92</v>
      </c>
      <c r="T12" s="5">
        <v>13.25</v>
      </c>
      <c r="U12" s="5">
        <v>358.81</v>
      </c>
      <c r="V12" s="5">
        <v>1997.0</v>
      </c>
      <c r="W12" s="5">
        <v>0.6141</v>
      </c>
      <c r="X12" s="5">
        <v>1393.0</v>
      </c>
      <c r="Y12" s="5">
        <v>3.826119673E9</v>
      </c>
      <c r="Z12" s="5">
        <v>6.230177531E9</v>
      </c>
      <c r="AA12" s="5">
        <v>0.0726499999999999</v>
      </c>
      <c r="AB12" s="5">
        <v>0.02435</v>
      </c>
      <c r="AC12" s="5">
        <v>59623.2142857142</v>
      </c>
      <c r="AD12" s="5">
        <v>0.6141</v>
      </c>
      <c r="AE12" s="5">
        <v>0.6975</v>
      </c>
      <c r="AF12" s="5">
        <v>0.006</v>
      </c>
      <c r="AG12" s="5">
        <v>0.0042</v>
      </c>
      <c r="AH12" s="5">
        <v>14.2766</v>
      </c>
      <c r="AI12" s="5">
        <v>0.5415</v>
      </c>
      <c r="AJ12" s="5">
        <v>0.0</v>
      </c>
      <c r="AK12" s="5">
        <v>2.21</v>
      </c>
      <c r="AL12" s="5">
        <v>11.4</v>
      </c>
      <c r="AM12" s="5">
        <v>306.92</v>
      </c>
      <c r="AN12" s="5">
        <v>0.0</v>
      </c>
    </row>
    <row r="13">
      <c r="A13" s="5">
        <v>2021.0</v>
      </c>
      <c r="B13" s="5">
        <v>1520.86</v>
      </c>
      <c r="C13" s="5">
        <v>2577.12</v>
      </c>
      <c r="D13" s="5">
        <v>8.27</v>
      </c>
      <c r="E13" s="5">
        <v>0.41</v>
      </c>
      <c r="F13" s="5">
        <v>24.0</v>
      </c>
      <c r="G13" s="5">
        <v>38.4</v>
      </c>
      <c r="H13" s="5">
        <v>24.57</v>
      </c>
      <c r="I13" s="5">
        <v>1.22</v>
      </c>
      <c r="J13" s="5">
        <v>0.81</v>
      </c>
      <c r="K13" s="5">
        <v>3.6</v>
      </c>
      <c r="L13" s="5">
        <v>4.94</v>
      </c>
      <c r="M13" s="5">
        <v>4.94</v>
      </c>
      <c r="N13" s="5">
        <v>14.53</v>
      </c>
      <c r="O13" s="5">
        <v>41.33</v>
      </c>
      <c r="P13" s="5">
        <v>54.16</v>
      </c>
      <c r="Q13" s="5">
        <v>1.4</v>
      </c>
      <c r="R13" s="5">
        <v>17.2</v>
      </c>
      <c r="S13" s="5">
        <v>3.4</v>
      </c>
      <c r="T13" s="5">
        <v>16.95</v>
      </c>
      <c r="U13" s="5">
        <v>401.15</v>
      </c>
      <c r="V13" s="5">
        <v>2065.0</v>
      </c>
      <c r="W13" s="5">
        <v>0.5901</v>
      </c>
      <c r="X13" s="5">
        <v>1246.0</v>
      </c>
      <c r="Y13" s="5">
        <v>3.791250156E9</v>
      </c>
      <c r="Z13" s="5">
        <v>6.424330051E9</v>
      </c>
      <c r="AA13" s="5">
        <v>0.0721428571428571</v>
      </c>
      <c r="AB13" s="5">
        <v>0.0245</v>
      </c>
      <c r="AC13" s="5">
        <v>60258.6428571428</v>
      </c>
      <c r="AD13" s="5">
        <v>0.5901</v>
      </c>
      <c r="AE13" s="5">
        <v>0.6034</v>
      </c>
      <c r="AF13" s="5">
        <v>0.0054</v>
      </c>
      <c r="AG13" s="5">
        <v>0.0041</v>
      </c>
      <c r="AH13" s="5">
        <v>10.7812</v>
      </c>
      <c r="AI13" s="5">
        <v>0.518</v>
      </c>
      <c r="AJ13" s="5">
        <v>0.0</v>
      </c>
      <c r="AK13" s="5">
        <v>-1.92</v>
      </c>
      <c r="AL13" s="5">
        <v>13.25</v>
      </c>
      <c r="AM13" s="5">
        <v>358.81</v>
      </c>
      <c r="AN13" s="5">
        <v>0.0</v>
      </c>
    </row>
    <row r="14">
      <c r="A14" s="5">
        <v>2022.0</v>
      </c>
      <c r="B14" s="5">
        <v>1762.74</v>
      </c>
      <c r="C14" s="5">
        <v>2946.6</v>
      </c>
      <c r="D14" s="5">
        <v>8.28</v>
      </c>
      <c r="E14" s="5">
        <v>0.4</v>
      </c>
      <c r="F14" s="5">
        <v>24.0</v>
      </c>
      <c r="G14" s="5">
        <v>45.5</v>
      </c>
      <c r="H14" s="5">
        <v>29.7</v>
      </c>
      <c r="I14" s="5">
        <v>1.3</v>
      </c>
      <c r="J14" s="5">
        <v>1.05</v>
      </c>
      <c r="K14" s="5">
        <v>3.9</v>
      </c>
      <c r="L14" s="5">
        <v>4.21</v>
      </c>
      <c r="M14" s="5">
        <v>29.39</v>
      </c>
      <c r="N14" s="5">
        <v>13.76</v>
      </c>
      <c r="O14" s="5">
        <v>44.12</v>
      </c>
      <c r="P14" s="5">
        <v>65.3</v>
      </c>
      <c r="Q14" s="5">
        <v>1.9</v>
      </c>
      <c r="R14" s="5">
        <v>23.8</v>
      </c>
      <c r="S14" s="5">
        <v>3.27</v>
      </c>
      <c r="T14" s="5">
        <v>18.85</v>
      </c>
      <c r="U14" s="5">
        <v>425.98</v>
      </c>
      <c r="V14" s="5">
        <v>2184.0</v>
      </c>
      <c r="W14" s="5">
        <v>0.5982</v>
      </c>
      <c r="X14" s="5">
        <v>1174.0</v>
      </c>
      <c r="Y14" s="5">
        <v>4.1380816E9</v>
      </c>
      <c r="Z14" s="5">
        <v>6.917226161E9</v>
      </c>
      <c r="AA14" s="5">
        <v>0.0739571428571428</v>
      </c>
      <c r="AB14" s="5">
        <v>0.0254</v>
      </c>
      <c r="AC14" s="5">
        <v>56938.5714285714</v>
      </c>
      <c r="AD14" s="5">
        <v>0.5982</v>
      </c>
      <c r="AE14" s="5">
        <v>0.5375</v>
      </c>
      <c r="AF14" s="5">
        <v>0.0047</v>
      </c>
      <c r="AG14" s="5">
        <v>0.004</v>
      </c>
      <c r="AH14" s="5">
        <v>15.9042</v>
      </c>
      <c r="AI14" s="5">
        <v>0.5242</v>
      </c>
      <c r="AJ14" s="5">
        <v>0.0</v>
      </c>
      <c r="AK14" s="5">
        <v>3.4</v>
      </c>
      <c r="AL14" s="5">
        <v>16.95</v>
      </c>
      <c r="AM14" s="5">
        <v>401.15</v>
      </c>
      <c r="AN14" s="5">
        <v>0.0</v>
      </c>
    </row>
    <row r="15">
      <c r="A15" s="5">
        <v>2023.0</v>
      </c>
      <c r="B15" s="5">
        <v>2006.62</v>
      </c>
      <c r="C15" s="5">
        <v>4324.96</v>
      </c>
      <c r="D15" s="5">
        <v>8.28</v>
      </c>
      <c r="E15" s="5">
        <v>0.4</v>
      </c>
      <c r="F15" s="5">
        <v>26.0</v>
      </c>
      <c r="G15" s="5">
        <v>71.58</v>
      </c>
      <c r="H15" s="5">
        <v>45.43</v>
      </c>
      <c r="I15" s="5">
        <v>1.849</v>
      </c>
      <c r="J15" s="5">
        <v>29.84</v>
      </c>
      <c r="K15" s="5">
        <v>4.8</v>
      </c>
      <c r="L15" s="5">
        <v>4.07</v>
      </c>
      <c r="M15" s="5">
        <v>37.52</v>
      </c>
      <c r="N15" s="5">
        <v>13.13</v>
      </c>
      <c r="O15" s="5">
        <v>43.98</v>
      </c>
      <c r="P15" s="5">
        <v>63.48</v>
      </c>
      <c r="Q15" s="5">
        <v>3.15</v>
      </c>
      <c r="R15" s="5">
        <v>49.13</v>
      </c>
      <c r="S15" s="5">
        <v>2.86</v>
      </c>
      <c r="T15" s="5">
        <v>24.66</v>
      </c>
      <c r="U15" s="5">
        <v>645.19</v>
      </c>
      <c r="V15" s="5">
        <v>1481.0</v>
      </c>
      <c r="W15" s="5">
        <v>0.464</v>
      </c>
      <c r="X15" s="5">
        <v>775.0</v>
      </c>
      <c r="Y15" s="5">
        <v>3.1101226E9</v>
      </c>
      <c r="Z15" s="5">
        <v>6.703389699E9</v>
      </c>
      <c r="AA15" s="5">
        <v>0.0656571428571428</v>
      </c>
      <c r="AB15" s="5">
        <v>0.0264</v>
      </c>
      <c r="AC15" s="5">
        <v>56194.1428571428</v>
      </c>
      <c r="AD15" s="5">
        <v>0.464</v>
      </c>
      <c r="AE15" s="5">
        <v>0.5233</v>
      </c>
      <c r="AF15" s="5">
        <v>0.0041</v>
      </c>
      <c r="AG15" s="5">
        <v>0.004</v>
      </c>
      <c r="AH15" s="5">
        <v>13.8353</v>
      </c>
      <c r="AI15" s="5">
        <v>0.3983</v>
      </c>
      <c r="AJ15" s="5">
        <v>0.0</v>
      </c>
      <c r="AK15" s="5">
        <v>3.27</v>
      </c>
      <c r="AL15" s="5">
        <v>18.85</v>
      </c>
      <c r="AM15" s="5">
        <v>425.98</v>
      </c>
      <c r="AN15" s="5">
        <v>0.0</v>
      </c>
    </row>
    <row r="16">
      <c r="A16" s="5">
        <v>2024.0</v>
      </c>
      <c r="B16" s="5">
        <v>2279.36</v>
      </c>
      <c r="C16" s="5">
        <v>25263.0</v>
      </c>
      <c r="D16" s="5">
        <v>63.21</v>
      </c>
      <c r="E16" s="5">
        <v>0.41</v>
      </c>
      <c r="F16" s="5">
        <v>26.0</v>
      </c>
      <c r="G16" s="5">
        <v>99.62</v>
      </c>
      <c r="H16" s="5">
        <v>59.73</v>
      </c>
      <c r="I16" s="5">
        <v>2.688</v>
      </c>
      <c r="J16" s="5">
        <v>52.64</v>
      </c>
      <c r="K16" s="5">
        <v>9.271</v>
      </c>
      <c r="L16" s="5">
        <v>4.5</v>
      </c>
      <c r="M16" s="5">
        <v>29.17</v>
      </c>
      <c r="N16" s="5">
        <v>15.25</v>
      </c>
      <c r="O16" s="5">
        <v>49.96</v>
      </c>
      <c r="P16" s="5">
        <v>60.32</v>
      </c>
      <c r="Q16" s="5">
        <v>3.49</v>
      </c>
      <c r="R16" s="5">
        <v>56.14</v>
      </c>
      <c r="S16" s="5">
        <v>3.3</v>
      </c>
      <c r="T16" s="5">
        <v>33.2</v>
      </c>
      <c r="U16" s="5">
        <v>1478.97</v>
      </c>
      <c r="V16" s="5">
        <v>940.0</v>
      </c>
      <c r="W16" s="5">
        <v>0.4749</v>
      </c>
      <c r="X16" s="5">
        <v>3381.0</v>
      </c>
      <c r="Y16" s="5">
        <v>1.541180687E9</v>
      </c>
      <c r="Z16" s="5">
        <v>3.245501937E9</v>
      </c>
      <c r="AA16" s="5">
        <v>0.0658357142857142</v>
      </c>
      <c r="AB16" s="5">
        <v>0.02355</v>
      </c>
      <c r="AC16" s="5">
        <v>55237.6428571428</v>
      </c>
      <c r="AD16" s="5">
        <v>0.0902</v>
      </c>
      <c r="AE16" s="5">
        <v>3.5968</v>
      </c>
      <c r="AF16" s="5">
        <v>0.0277</v>
      </c>
      <c r="AG16" s="5">
        <v>0.0041</v>
      </c>
      <c r="AH16" s="5">
        <v>13.592</v>
      </c>
      <c r="AI16" s="5">
        <v>0.0244</v>
      </c>
      <c r="AJ16" s="5">
        <v>-0.3847</v>
      </c>
      <c r="AK16" s="5">
        <v>2.86</v>
      </c>
      <c r="AL16" s="5">
        <v>24.66</v>
      </c>
      <c r="AM16" s="5">
        <v>645.19</v>
      </c>
      <c r="AN16" s="5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0" t="s">
        <v>50</v>
      </c>
      <c r="C1" s="11" t="s">
        <v>51</v>
      </c>
      <c r="D1" s="12" t="s">
        <v>52</v>
      </c>
    </row>
    <row r="2">
      <c r="A2" s="5">
        <v>2010.0</v>
      </c>
      <c r="B2" s="5">
        <v>0.2256</v>
      </c>
      <c r="C2" s="5">
        <v>0.2256</v>
      </c>
      <c r="D2" s="5">
        <v>0.0400785714285714</v>
      </c>
    </row>
    <row r="3">
      <c r="A3" s="5">
        <v>2011.0</v>
      </c>
      <c r="B3" s="5">
        <v>0.3562</v>
      </c>
      <c r="C3" s="5">
        <v>0.3562</v>
      </c>
      <c r="D3" s="5">
        <v>0.0492714285714285</v>
      </c>
    </row>
    <row r="4">
      <c r="A4" s="5">
        <v>2012.0</v>
      </c>
      <c r="B4" s="5">
        <v>0.1841</v>
      </c>
      <c r="C4" s="5">
        <v>0.1841</v>
      </c>
      <c r="D4" s="5">
        <v>0.0382571428571428</v>
      </c>
    </row>
    <row r="5">
      <c r="A5" s="5">
        <v>2013.0</v>
      </c>
      <c r="B5" s="5">
        <v>0.3971</v>
      </c>
      <c r="C5" s="5">
        <v>0.3971</v>
      </c>
      <c r="D5" s="5">
        <v>0.0531428571428571</v>
      </c>
    </row>
    <row r="6">
      <c r="A6" s="5">
        <v>2014.0</v>
      </c>
      <c r="B6" s="5">
        <v>0.4464</v>
      </c>
      <c r="C6" s="5">
        <v>0.4464</v>
      </c>
      <c r="D6" s="5">
        <v>0.0579571428571428</v>
      </c>
    </row>
    <row r="7">
      <c r="A7" s="5">
        <v>2015.0</v>
      </c>
      <c r="B7" s="5">
        <v>0.4727</v>
      </c>
      <c r="C7" s="5">
        <v>0.4727</v>
      </c>
      <c r="D7" s="5">
        <v>0.0613428571428571</v>
      </c>
    </row>
    <row r="8">
      <c r="A8" s="5">
        <v>2016.0</v>
      </c>
      <c r="B8" s="5">
        <v>0.588</v>
      </c>
      <c r="C8" s="5">
        <v>0.588</v>
      </c>
      <c r="D8" s="5">
        <v>0.0707785714285714</v>
      </c>
    </row>
    <row r="9">
      <c r="A9" s="5">
        <v>2017.0</v>
      </c>
      <c r="B9" s="5">
        <v>0.5966</v>
      </c>
      <c r="C9" s="5">
        <v>0.5966</v>
      </c>
      <c r="D9" s="5">
        <v>0.0714357142857142</v>
      </c>
    </row>
    <row r="10">
      <c r="A10" s="5">
        <v>2018.0</v>
      </c>
      <c r="B10" s="5">
        <v>0.5563</v>
      </c>
      <c r="C10" s="5">
        <v>0.5563</v>
      </c>
      <c r="D10" s="5">
        <v>0.0694714285714285</v>
      </c>
    </row>
    <row r="11">
      <c r="A11" s="5">
        <v>2019.0</v>
      </c>
      <c r="B11" s="5">
        <v>0.5704</v>
      </c>
      <c r="C11" s="5">
        <v>0.5704</v>
      </c>
      <c r="D11" s="5">
        <v>0.0713</v>
      </c>
    </row>
    <row r="12">
      <c r="A12" s="5">
        <v>2020.0</v>
      </c>
      <c r="B12" s="5">
        <v>0.6141</v>
      </c>
      <c r="C12" s="5">
        <v>0.6141</v>
      </c>
      <c r="D12" s="5">
        <v>0.0726499999999999</v>
      </c>
    </row>
    <row r="13">
      <c r="A13" s="5">
        <v>2021.0</v>
      </c>
      <c r="B13" s="5">
        <v>0.5901</v>
      </c>
      <c r="C13" s="5">
        <v>0.5901</v>
      </c>
      <c r="D13" s="5">
        <v>0.0721428571428571</v>
      </c>
    </row>
    <row r="14">
      <c r="A14" s="5">
        <v>2022.0</v>
      </c>
      <c r="B14" s="5">
        <v>0.5982</v>
      </c>
      <c r="C14" s="5">
        <v>0.5982</v>
      </c>
      <c r="D14" s="5">
        <v>0.0739571428571428</v>
      </c>
    </row>
    <row r="15">
      <c r="A15" s="5">
        <v>2023.0</v>
      </c>
      <c r="B15" s="5">
        <v>0.464</v>
      </c>
      <c r="C15" s="5">
        <v>0.464</v>
      </c>
      <c r="D15" s="5">
        <v>0.0656571428571428</v>
      </c>
    </row>
    <row r="16">
      <c r="A16" s="5">
        <v>2024.0</v>
      </c>
      <c r="B16" s="5">
        <v>0.0902</v>
      </c>
      <c r="C16" s="5">
        <v>0.4749</v>
      </c>
      <c r="D16" s="5">
        <v>0.0658357142857142</v>
      </c>
    </row>
  </sheetData>
  <drawing r:id="rId1"/>
</worksheet>
</file>