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 Metrics" sheetId="1" r:id="rId5"/>
    <sheet state="visible" name="IADI Gap Scorecard" sheetId="2" r:id="rId6"/>
    <sheet state="visible" name="CP Scores" sheetId="3" r:id="rId7"/>
  </sheets>
  <definedNames/>
  <calcPr/>
</workbook>
</file>

<file path=xl/sharedStrings.xml><?xml version="1.0" encoding="utf-8"?>
<sst xmlns="http://schemas.openxmlformats.org/spreadsheetml/2006/main" count="80" uniqueCount="35">
  <si>
    <t>IADI Core Principle Gap Scorecard — Nigeria (NDIC) 2010–2024</t>
  </si>
  <si>
    <t>year</t>
  </si>
  <si>
    <t>metric</t>
  </si>
  <si>
    <t>ndic_value</t>
  </si>
  <si>
    <t>iadi_avg</t>
  </si>
  <si>
    <t>iadi_best</t>
  </si>
  <si>
    <t>Core Principle</t>
  </si>
  <si>
    <t>gap_to_iadi_avg</t>
  </si>
  <si>
    <t>gap_to_best</t>
  </si>
  <si>
    <t>NDIC Score (1–5)</t>
  </si>
  <si>
    <t>IADI Peer Avg</t>
  </si>
  <si>
    <t>Gap</t>
  </si>
  <si>
    <t>Status</t>
  </si>
  <si>
    <t>CP1: Public Policy Objectives</t>
  </si>
  <si>
    <t>Fund Adequacy Ratio</t>
  </si>
  <si>
    <t>Coverage Ratio</t>
  </si>
  <si>
    <t>Claims Intensity</t>
  </si>
  <si>
    <t>✅ Above average</t>
  </si>
  <si>
    <t>CP2: Mandate &amp; Powers</t>
  </si>
  <si>
    <t>CP3: Governance</t>
  </si>
  <si>
    <t>⚠️ Below average</t>
  </si>
  <si>
    <t>CP4: Safety-Net Relationships</t>
  </si>
  <si>
    <t>CP5: Membership &amp; Coverage</t>
  </si>
  <si>
    <t>🔴 Below average</t>
  </si>
  <si>
    <t>CP6: Fund Management</t>
  </si>
  <si>
    <t>CP7: Public Awareness</t>
  </si>
  <si>
    <t>⚠️ Slightly below</t>
  </si>
  <si>
    <t>Model</t>
  </si>
  <si>
    <t>AUC-ROC</t>
  </si>
  <si>
    <t>Precision</t>
  </si>
  <si>
    <t>Recall</t>
  </si>
  <si>
    <t>F1 Score</t>
  </si>
  <si>
    <t>LOO CV F1 Mean</t>
  </si>
  <si>
    <t>Logistic Regression</t>
  </si>
  <si>
    <t>XGBoost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</si>
</sst>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4" numFmtId="164" xfId="0" applyAlignment="1" applyFont="1" applyNumberFormat="1">
      <alignment readingOrder="0"/>
    </xf>
    <xf borderId="0" fillId="0" fontId="3" numFmtId="164" xfId="0" applyAlignment="1" applyFont="1" applyNumberFormat="1">
      <alignment readingOrder="0" shrinkToFit="0" wrapText="1"/>
    </xf>
  </cellXfs>
  <cellStyles count="1">
    <cellStyle xfId="0" name="Normal" builtinId="0"/>
  </cellStyles>
  <dxfs count="5">
    <dxf>
      <font/>
      <fill>
        <patternFill patternType="solid">
          <fgColor rgb="FF34A853"/>
          <bgColor rgb="FF34A853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theme="7"/>
          <bgColor theme="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Model Comparison — AUC-ROC: Logistic Regression vs XGBoost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'Model Metrics'!$B$1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"/>
            <c:spPr>
              <a:solidFill>
                <a:schemeClr val="accent4"/>
              </a:solidFill>
              <a:ln cmpd="sng">
                <a:noFill/>
              </a:ln>
            </c:spPr>
          </c:dPt>
          <c:cat>
            <c:strRef>
              <c:f>'Model Metrics'!$A$2:$A$3</c:f>
            </c:strRef>
          </c:cat>
          <c:val>
            <c:numRef>
              <c:f>'Model Metrics'!$B$2:$B$3</c:f>
              <c:numCache/>
            </c:numRef>
          </c:val>
        </c:ser>
        <c:axId val="1691490709"/>
        <c:axId val="1380843251"/>
      </c:barChart>
      <c:catAx>
        <c:axId val="169149070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0843251"/>
      </c:catAx>
      <c:valAx>
        <c:axId val="138084325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149070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190500</xdr:rowOff>
    </xdr:from>
    <xdr:ext cx="57531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27</v>
      </c>
      <c r="B1" s="7" t="s">
        <v>28</v>
      </c>
      <c r="C1" s="7" t="s">
        <v>29</v>
      </c>
      <c r="D1" s="7" t="s">
        <v>30</v>
      </c>
      <c r="E1" s="7" t="s">
        <v>31</v>
      </c>
      <c r="F1" s="7" t="s">
        <v>32</v>
      </c>
      <c r="G1" s="3"/>
    </row>
    <row r="2">
      <c r="A2" s="5" t="s">
        <v>33</v>
      </c>
      <c r="B2" s="8">
        <v>1.0</v>
      </c>
      <c r="C2" s="8">
        <v>1.0</v>
      </c>
      <c r="D2" s="8">
        <v>0.5</v>
      </c>
      <c r="E2" s="8">
        <v>0.6667</v>
      </c>
      <c r="F2" s="9">
        <v>0.7143</v>
      </c>
    </row>
    <row r="3">
      <c r="A3" s="5" t="s">
        <v>34</v>
      </c>
      <c r="B3" s="9">
        <v>0.5</v>
      </c>
      <c r="C3" s="8">
        <v>0.4</v>
      </c>
      <c r="D3" s="8">
        <v>1.0</v>
      </c>
      <c r="E3" s="8">
        <v>0.5714</v>
      </c>
      <c r="F3" s="8">
        <v>0.5</v>
      </c>
    </row>
    <row r="4">
      <c r="A4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7</v>
      </c>
      <c r="G2" s="2" t="s">
        <v>8</v>
      </c>
    </row>
    <row r="3">
      <c r="A3" s="4">
        <v>2010.0</v>
      </c>
      <c r="B3" s="2" t="s">
        <v>14</v>
      </c>
      <c r="C3" s="4">
        <v>0.2256</v>
      </c>
      <c r="D3" s="4">
        <v>0.0401</v>
      </c>
      <c r="E3" s="4">
        <v>0.2256</v>
      </c>
      <c r="F3" s="4">
        <v>0.1855</v>
      </c>
      <c r="G3" s="4">
        <v>0.0</v>
      </c>
    </row>
    <row r="4">
      <c r="A4" s="4">
        <v>2010.0</v>
      </c>
      <c r="B4" s="2" t="s">
        <v>15</v>
      </c>
      <c r="C4" s="4">
        <v>0.6042</v>
      </c>
      <c r="D4" s="4">
        <v>29.1034</v>
      </c>
      <c r="E4" s="4">
        <v>5.0</v>
      </c>
      <c r="F4" s="4">
        <v>-28.4992</v>
      </c>
      <c r="G4" s="4">
        <v>4.3958</v>
      </c>
    </row>
    <row r="5">
      <c r="A5" s="4">
        <v>2010.0</v>
      </c>
      <c r="B5" s="2" t="s">
        <v>16</v>
      </c>
      <c r="C5" s="4">
        <v>0.0257</v>
      </c>
      <c r="D5" s="4">
        <v>0.05</v>
      </c>
      <c r="E5" s="4">
        <v>0.01</v>
      </c>
      <c r="F5" s="4">
        <v>-0.0243</v>
      </c>
      <c r="G5" s="4">
        <v>0.0157</v>
      </c>
    </row>
    <row r="6">
      <c r="A6" s="4">
        <v>2011.0</v>
      </c>
      <c r="B6" s="2" t="s">
        <v>14</v>
      </c>
      <c r="C6" s="4">
        <v>0.3562</v>
      </c>
      <c r="D6" s="4">
        <v>0.0493</v>
      </c>
      <c r="E6" s="4">
        <v>0.3562</v>
      </c>
      <c r="F6" s="4">
        <v>0.3069</v>
      </c>
      <c r="G6" s="4">
        <v>0.0</v>
      </c>
    </row>
    <row r="7">
      <c r="A7" s="4">
        <v>2011.0</v>
      </c>
      <c r="B7" s="2" t="s">
        <v>15</v>
      </c>
      <c r="C7" s="4">
        <v>1.278</v>
      </c>
      <c r="D7" s="4">
        <v>27.988</v>
      </c>
      <c r="E7" s="4">
        <v>5.0</v>
      </c>
      <c r="F7" s="4">
        <v>-26.71</v>
      </c>
      <c r="G7" s="4">
        <v>3.722</v>
      </c>
    </row>
    <row r="8">
      <c r="A8" s="4">
        <v>2011.0</v>
      </c>
      <c r="B8" s="2" t="s">
        <v>16</v>
      </c>
      <c r="C8" s="4">
        <v>0.0187</v>
      </c>
      <c r="D8" s="4">
        <v>0.05</v>
      </c>
      <c r="E8" s="4">
        <v>0.01</v>
      </c>
      <c r="F8" s="4">
        <v>-0.0313</v>
      </c>
      <c r="G8" s="4">
        <v>0.0087</v>
      </c>
    </row>
    <row r="9">
      <c r="A9" s="4">
        <v>2012.0</v>
      </c>
      <c r="B9" s="2" t="s">
        <v>14</v>
      </c>
      <c r="C9" s="4">
        <v>0.1841</v>
      </c>
      <c r="D9" s="4">
        <v>0.0383</v>
      </c>
      <c r="E9" s="4">
        <v>0.1841</v>
      </c>
      <c r="F9" s="4">
        <v>0.1458</v>
      </c>
      <c r="G9" s="4">
        <v>0.0</v>
      </c>
    </row>
    <row r="10">
      <c r="A10" s="4">
        <v>2012.0</v>
      </c>
      <c r="B10" s="2" t="s">
        <v>15</v>
      </c>
      <c r="C10" s="4">
        <v>1.1533</v>
      </c>
      <c r="D10" s="4">
        <v>25.2306</v>
      </c>
      <c r="E10" s="4">
        <v>5.0</v>
      </c>
      <c r="F10" s="4">
        <v>-24.0773</v>
      </c>
      <c r="G10" s="4">
        <v>3.8467</v>
      </c>
    </row>
    <row r="11">
      <c r="A11" s="4">
        <v>2012.0</v>
      </c>
      <c r="B11" s="2" t="s">
        <v>16</v>
      </c>
      <c r="C11" s="4">
        <v>0.016</v>
      </c>
      <c r="D11" s="4">
        <v>0.05</v>
      </c>
      <c r="E11" s="4">
        <v>0.01</v>
      </c>
      <c r="F11" s="4">
        <v>-0.034</v>
      </c>
      <c r="G11" s="4">
        <v>0.006</v>
      </c>
    </row>
    <row r="12">
      <c r="A12" s="4">
        <v>2013.0</v>
      </c>
      <c r="B12" s="2" t="s">
        <v>14</v>
      </c>
      <c r="C12" s="4">
        <v>0.3971</v>
      </c>
      <c r="D12" s="4">
        <v>0.0531</v>
      </c>
      <c r="E12" s="4">
        <v>0.3971</v>
      </c>
      <c r="F12" s="4">
        <v>0.344</v>
      </c>
      <c r="G12" s="4">
        <v>0.0</v>
      </c>
    </row>
    <row r="13">
      <c r="A13" s="4">
        <v>2013.0</v>
      </c>
      <c r="B13" s="2" t="s">
        <v>15</v>
      </c>
      <c r="C13" s="4">
        <v>1.0697</v>
      </c>
      <c r="D13" s="4">
        <v>23.5773</v>
      </c>
      <c r="E13" s="4">
        <v>5.0</v>
      </c>
      <c r="F13" s="4">
        <v>-22.5076</v>
      </c>
      <c r="G13" s="4">
        <v>3.9303</v>
      </c>
    </row>
    <row r="14">
      <c r="A14" s="4">
        <v>2013.0</v>
      </c>
      <c r="B14" s="2" t="s">
        <v>16</v>
      </c>
      <c r="C14" s="4">
        <v>0.0134</v>
      </c>
      <c r="D14" s="4">
        <v>0.05</v>
      </c>
      <c r="E14" s="4">
        <v>0.01</v>
      </c>
      <c r="F14" s="4">
        <v>-0.0366</v>
      </c>
      <c r="G14" s="4">
        <v>0.0034</v>
      </c>
    </row>
    <row r="15">
      <c r="A15" s="4">
        <v>2014.0</v>
      </c>
      <c r="B15" s="2" t="s">
        <v>14</v>
      </c>
      <c r="C15" s="4">
        <v>0.4464</v>
      </c>
      <c r="D15" s="4">
        <v>0.058</v>
      </c>
      <c r="E15" s="4">
        <v>0.4464</v>
      </c>
      <c r="F15" s="4">
        <v>0.3884</v>
      </c>
      <c r="G15" s="4">
        <v>0.0</v>
      </c>
    </row>
    <row r="16">
      <c r="A16" s="4">
        <v>2014.0</v>
      </c>
      <c r="B16" s="2" t="s">
        <v>15</v>
      </c>
      <c r="C16" s="4">
        <v>0.9847</v>
      </c>
      <c r="D16" s="4">
        <v>21.0837</v>
      </c>
      <c r="E16" s="4">
        <v>5.0</v>
      </c>
      <c r="F16" s="4">
        <v>-20.099</v>
      </c>
      <c r="G16" s="4">
        <v>4.0153</v>
      </c>
    </row>
    <row r="17">
      <c r="A17" s="4">
        <v>2014.0</v>
      </c>
      <c r="B17" s="2" t="s">
        <v>16</v>
      </c>
      <c r="C17" s="4">
        <v>0.0111</v>
      </c>
      <c r="D17" s="4">
        <v>0.05</v>
      </c>
      <c r="E17" s="4">
        <v>0.01</v>
      </c>
      <c r="F17" s="4">
        <v>-0.0389</v>
      </c>
      <c r="G17" s="4">
        <v>0.0011</v>
      </c>
    </row>
    <row r="18">
      <c r="A18" s="4">
        <v>2015.0</v>
      </c>
      <c r="B18" s="2" t="s">
        <v>14</v>
      </c>
      <c r="C18" s="4">
        <v>0.4727</v>
      </c>
      <c r="D18" s="4">
        <v>0.0613</v>
      </c>
      <c r="E18" s="4">
        <v>0.4727</v>
      </c>
      <c r="F18" s="4">
        <v>0.4114</v>
      </c>
      <c r="G18" s="4">
        <v>0.0</v>
      </c>
    </row>
    <row r="19">
      <c r="A19" s="4">
        <v>2015.0</v>
      </c>
      <c r="B19" s="2" t="s">
        <v>15</v>
      </c>
      <c r="C19" s="4">
        <v>0.9513</v>
      </c>
      <c r="D19" s="4">
        <v>22.2158</v>
      </c>
      <c r="E19" s="4">
        <v>5.0</v>
      </c>
      <c r="F19" s="4">
        <v>-21.2645</v>
      </c>
      <c r="G19" s="4">
        <v>4.0487</v>
      </c>
    </row>
    <row r="20">
      <c r="A20" s="4">
        <v>2015.0</v>
      </c>
      <c r="B20" s="2" t="s">
        <v>16</v>
      </c>
      <c r="C20" s="4">
        <v>0.0094</v>
      </c>
      <c r="D20" s="4">
        <v>0.05</v>
      </c>
      <c r="E20" s="4">
        <v>0.01</v>
      </c>
      <c r="F20" s="4">
        <v>-0.0406</v>
      </c>
      <c r="G20" s="4">
        <v>-6.0E-4</v>
      </c>
    </row>
    <row r="21">
      <c r="A21" s="4">
        <v>2016.0</v>
      </c>
      <c r="B21" s="2" t="s">
        <v>14</v>
      </c>
      <c r="C21" s="4">
        <v>0.588</v>
      </c>
      <c r="D21" s="4">
        <v>0.0708</v>
      </c>
      <c r="E21" s="4">
        <v>0.588</v>
      </c>
      <c r="F21" s="4">
        <v>0.5172</v>
      </c>
      <c r="G21" s="4">
        <v>0.0</v>
      </c>
    </row>
    <row r="22">
      <c r="A22" s="4">
        <v>2016.0</v>
      </c>
      <c r="B22" s="2" t="s">
        <v>15</v>
      </c>
      <c r="C22" s="4">
        <v>0.9062</v>
      </c>
      <c r="D22" s="4">
        <v>27.9651</v>
      </c>
      <c r="E22" s="4">
        <v>5.0</v>
      </c>
      <c r="F22" s="4">
        <v>-27.0589</v>
      </c>
      <c r="G22" s="4">
        <v>4.0938</v>
      </c>
    </row>
    <row r="23">
      <c r="A23" s="4">
        <v>2016.0</v>
      </c>
      <c r="B23" s="2" t="s">
        <v>16</v>
      </c>
      <c r="C23" s="4">
        <v>0.0082</v>
      </c>
      <c r="D23" s="4">
        <v>0.05</v>
      </c>
      <c r="E23" s="4">
        <v>0.01</v>
      </c>
      <c r="F23" s="4">
        <v>-0.0418</v>
      </c>
      <c r="G23" s="4">
        <v>-0.0018</v>
      </c>
    </row>
    <row r="24">
      <c r="A24" s="4">
        <v>2017.0</v>
      </c>
      <c r="B24" s="2" t="s">
        <v>14</v>
      </c>
      <c r="C24" s="4">
        <v>0.5966</v>
      </c>
      <c r="D24" s="4">
        <v>0.0714</v>
      </c>
      <c r="E24" s="4">
        <v>0.5966</v>
      </c>
      <c r="F24" s="4">
        <v>0.5252</v>
      </c>
      <c r="G24" s="4">
        <v>0.0</v>
      </c>
    </row>
    <row r="25">
      <c r="A25" s="4">
        <v>2017.0</v>
      </c>
      <c r="B25" s="2" t="s">
        <v>15</v>
      </c>
      <c r="C25" s="4">
        <v>0.8304</v>
      </c>
      <c r="D25" s="4">
        <v>31.3461</v>
      </c>
      <c r="E25" s="4">
        <v>5.0</v>
      </c>
      <c r="F25" s="4">
        <v>-30.5157</v>
      </c>
      <c r="G25" s="4">
        <v>4.1696</v>
      </c>
    </row>
    <row r="26">
      <c r="A26" s="4">
        <v>2017.0</v>
      </c>
      <c r="B26" s="2" t="s">
        <v>16</v>
      </c>
      <c r="C26" s="4">
        <v>0.0086</v>
      </c>
      <c r="D26" s="4">
        <v>0.05</v>
      </c>
      <c r="E26" s="4">
        <v>0.01</v>
      </c>
      <c r="F26" s="4">
        <v>-0.0414</v>
      </c>
      <c r="G26" s="4">
        <v>-0.0014</v>
      </c>
    </row>
    <row r="27">
      <c r="A27" s="4">
        <v>2018.0</v>
      </c>
      <c r="B27" s="2" t="s">
        <v>14</v>
      </c>
      <c r="C27" s="4">
        <v>0.5563</v>
      </c>
      <c r="D27" s="4">
        <v>0.0695</v>
      </c>
      <c r="E27" s="4">
        <v>0.5563</v>
      </c>
      <c r="F27" s="4">
        <v>0.4868</v>
      </c>
      <c r="G27" s="4">
        <v>0.0</v>
      </c>
    </row>
    <row r="28">
      <c r="A28" s="4">
        <v>2018.0</v>
      </c>
      <c r="B28" s="2" t="s">
        <v>15</v>
      </c>
      <c r="C28" s="4">
        <v>0.8057</v>
      </c>
      <c r="D28" s="4">
        <v>29.9101</v>
      </c>
      <c r="E28" s="4">
        <v>5.0</v>
      </c>
      <c r="F28" s="4">
        <v>-29.1044</v>
      </c>
      <c r="G28" s="4">
        <v>4.1943</v>
      </c>
    </row>
    <row r="29">
      <c r="A29" s="4">
        <v>2018.0</v>
      </c>
      <c r="B29" s="2" t="s">
        <v>16</v>
      </c>
      <c r="C29" s="4">
        <v>0.0075</v>
      </c>
      <c r="D29" s="4">
        <v>0.05</v>
      </c>
      <c r="E29" s="4">
        <v>0.01</v>
      </c>
      <c r="F29" s="4">
        <v>-0.0425</v>
      </c>
      <c r="G29" s="4">
        <v>-0.0025</v>
      </c>
    </row>
    <row r="30">
      <c r="A30" s="4">
        <v>2019.0</v>
      </c>
      <c r="B30" s="2" t="s">
        <v>14</v>
      </c>
      <c r="C30" s="4">
        <v>0.5704</v>
      </c>
      <c r="D30" s="4">
        <v>0.0713</v>
      </c>
      <c r="E30" s="4">
        <v>0.5704</v>
      </c>
      <c r="F30" s="4">
        <v>0.4991</v>
      </c>
      <c r="G30" s="4">
        <v>0.0</v>
      </c>
    </row>
    <row r="31">
      <c r="A31" s="4">
        <v>2019.0</v>
      </c>
      <c r="B31" s="2" t="s">
        <v>15</v>
      </c>
      <c r="C31" s="4">
        <v>0.7308</v>
      </c>
      <c r="D31" s="4">
        <v>26.9902</v>
      </c>
      <c r="E31" s="4">
        <v>5.0</v>
      </c>
      <c r="F31" s="4">
        <v>-26.2594</v>
      </c>
      <c r="G31" s="4">
        <v>4.2692</v>
      </c>
    </row>
    <row r="32">
      <c r="A32" s="4">
        <v>2019.0</v>
      </c>
      <c r="B32" s="2" t="s">
        <v>16</v>
      </c>
      <c r="C32" s="4">
        <v>0.0069</v>
      </c>
      <c r="D32" s="4">
        <v>0.05</v>
      </c>
      <c r="E32" s="4">
        <v>0.01</v>
      </c>
      <c r="F32" s="4">
        <v>-0.0431</v>
      </c>
      <c r="G32" s="4">
        <v>-0.0031</v>
      </c>
    </row>
    <row r="33">
      <c r="A33" s="4">
        <v>2020.0</v>
      </c>
      <c r="B33" s="2" t="s">
        <v>14</v>
      </c>
      <c r="C33" s="4">
        <v>0.6141</v>
      </c>
      <c r="D33" s="4">
        <v>0.0726</v>
      </c>
      <c r="E33" s="4">
        <v>0.6141</v>
      </c>
      <c r="F33" s="4">
        <v>0.5415</v>
      </c>
      <c r="G33" s="4">
        <v>0.0</v>
      </c>
    </row>
    <row r="34">
      <c r="A34" s="4">
        <v>2020.0</v>
      </c>
      <c r="B34" s="2" t="s">
        <v>15</v>
      </c>
      <c r="C34" s="4">
        <v>0.6975</v>
      </c>
      <c r="D34" s="4">
        <v>29.8564</v>
      </c>
      <c r="E34" s="4">
        <v>5.0</v>
      </c>
      <c r="F34" s="4">
        <v>-29.1589</v>
      </c>
      <c r="G34" s="4">
        <v>4.3025</v>
      </c>
    </row>
    <row r="35">
      <c r="A35" s="4">
        <v>2020.0</v>
      </c>
      <c r="B35" s="2" t="s">
        <v>16</v>
      </c>
      <c r="C35" s="4">
        <v>0.006</v>
      </c>
      <c r="D35" s="4">
        <v>0.05</v>
      </c>
      <c r="E35" s="4">
        <v>0.01</v>
      </c>
      <c r="F35" s="4">
        <v>-0.044</v>
      </c>
      <c r="G35" s="4">
        <v>-0.004</v>
      </c>
    </row>
    <row r="36">
      <c r="A36" s="4">
        <v>2021.0</v>
      </c>
      <c r="B36" s="2" t="s">
        <v>14</v>
      </c>
      <c r="C36" s="4">
        <v>0.5901</v>
      </c>
      <c r="D36" s="4">
        <v>0.0721</v>
      </c>
      <c r="E36" s="4">
        <v>0.5901</v>
      </c>
      <c r="F36" s="4">
        <v>0.518</v>
      </c>
      <c r="G36" s="4">
        <v>0.0</v>
      </c>
    </row>
    <row r="37">
      <c r="A37" s="4">
        <v>2021.0</v>
      </c>
      <c r="B37" s="2" t="s">
        <v>15</v>
      </c>
      <c r="C37" s="4">
        <v>0.6034</v>
      </c>
      <c r="D37" s="4">
        <v>29.1809</v>
      </c>
      <c r="E37" s="4">
        <v>5.0</v>
      </c>
      <c r="F37" s="4">
        <v>-28.5775</v>
      </c>
      <c r="G37" s="4">
        <v>4.3966</v>
      </c>
    </row>
    <row r="38">
      <c r="A38" s="4">
        <v>2021.0</v>
      </c>
      <c r="B38" s="2" t="s">
        <v>16</v>
      </c>
      <c r="C38" s="4">
        <v>0.0054</v>
      </c>
      <c r="D38" s="4">
        <v>0.05</v>
      </c>
      <c r="E38" s="4">
        <v>0.01</v>
      </c>
      <c r="F38" s="4">
        <v>-0.0446</v>
      </c>
      <c r="G38" s="4">
        <v>-0.0046</v>
      </c>
    </row>
    <row r="39">
      <c r="A39" s="4">
        <v>2022.0</v>
      </c>
      <c r="B39" s="2" t="s">
        <v>14</v>
      </c>
      <c r="C39" s="4">
        <v>0.5982</v>
      </c>
      <c r="D39" s="4">
        <v>0.074</v>
      </c>
      <c r="E39" s="4">
        <v>0.5982</v>
      </c>
      <c r="F39" s="4">
        <v>0.5242</v>
      </c>
      <c r="G39" s="4">
        <v>0.0</v>
      </c>
    </row>
    <row r="40">
      <c r="A40" s="4">
        <v>2022.0</v>
      </c>
      <c r="B40" s="2" t="s">
        <v>15</v>
      </c>
      <c r="C40" s="4">
        <v>0.5375</v>
      </c>
      <c r="D40" s="4">
        <v>26.0708</v>
      </c>
      <c r="E40" s="4">
        <v>5.0</v>
      </c>
      <c r="F40" s="4">
        <v>-25.5333</v>
      </c>
      <c r="G40" s="4">
        <v>4.4625</v>
      </c>
    </row>
    <row r="41">
      <c r="A41" s="4">
        <v>2022.0</v>
      </c>
      <c r="B41" s="2" t="s">
        <v>16</v>
      </c>
      <c r="C41" s="4">
        <v>0.0047</v>
      </c>
      <c r="D41" s="4">
        <v>0.05</v>
      </c>
      <c r="E41" s="4">
        <v>0.01</v>
      </c>
      <c r="F41" s="4">
        <v>-0.0453</v>
      </c>
      <c r="G41" s="4">
        <v>-0.0053</v>
      </c>
    </row>
    <row r="42">
      <c r="A42" s="4">
        <v>2023.0</v>
      </c>
      <c r="B42" s="2" t="s">
        <v>14</v>
      </c>
      <c r="C42" s="4">
        <v>0.464</v>
      </c>
      <c r="D42" s="4">
        <v>0.0657</v>
      </c>
      <c r="E42" s="4">
        <v>0.464</v>
      </c>
      <c r="F42" s="4">
        <v>0.3983</v>
      </c>
      <c r="G42" s="4">
        <v>0.0</v>
      </c>
    </row>
    <row r="43">
      <c r="A43" s="4">
        <v>2023.0</v>
      </c>
      <c r="B43" s="2" t="s">
        <v>15</v>
      </c>
      <c r="C43" s="4">
        <v>0.5233</v>
      </c>
      <c r="D43" s="4">
        <v>37.9434</v>
      </c>
      <c r="E43" s="4">
        <v>5.0</v>
      </c>
      <c r="F43" s="4">
        <v>-37.4201</v>
      </c>
      <c r="G43" s="4">
        <v>4.4767</v>
      </c>
    </row>
    <row r="44">
      <c r="A44" s="4">
        <v>2023.0</v>
      </c>
      <c r="B44" s="2" t="s">
        <v>16</v>
      </c>
      <c r="C44" s="4">
        <v>0.0041</v>
      </c>
      <c r="D44" s="4">
        <v>0.05</v>
      </c>
      <c r="E44" s="4">
        <v>0.01</v>
      </c>
      <c r="F44" s="4">
        <v>-0.0459</v>
      </c>
      <c r="G44" s="4">
        <v>-0.0059</v>
      </c>
    </row>
    <row r="45">
      <c r="A45" s="4">
        <v>2024.0</v>
      </c>
      <c r="B45" s="2" t="s">
        <v>14</v>
      </c>
      <c r="C45" s="4">
        <v>0.0902</v>
      </c>
      <c r="D45" s="4">
        <v>0.0658</v>
      </c>
      <c r="E45" s="4">
        <v>0.4749</v>
      </c>
      <c r="F45" s="4">
        <v>0.0244</v>
      </c>
      <c r="G45" s="4">
        <v>0.3847</v>
      </c>
    </row>
    <row r="46">
      <c r="A46" s="4">
        <v>2024.0</v>
      </c>
      <c r="B46" s="2" t="s">
        <v>15</v>
      </c>
      <c r="C46" s="4">
        <v>3.5968</v>
      </c>
      <c r="D46" s="4">
        <v>58.7634</v>
      </c>
      <c r="E46" s="4">
        <v>5.0</v>
      </c>
      <c r="F46" s="4">
        <v>-55.1666</v>
      </c>
      <c r="G46" s="4">
        <v>1.4032</v>
      </c>
    </row>
    <row r="47">
      <c r="A47" s="4">
        <v>2024.0</v>
      </c>
      <c r="B47" s="2" t="s">
        <v>16</v>
      </c>
      <c r="C47" s="4">
        <v>0.0277</v>
      </c>
      <c r="D47" s="4">
        <v>0.05</v>
      </c>
      <c r="E47" s="4">
        <v>0.01</v>
      </c>
      <c r="F47" s="4">
        <v>-0.0223</v>
      </c>
      <c r="G47" s="4">
        <v>0.0177</v>
      </c>
    </row>
  </sheetData>
  <conditionalFormatting sqref="F1:F47">
    <cfRule type="cellIs" dxfId="2" priority="1" operator="lessThan">
      <formula>0</formula>
    </cfRule>
  </conditionalFormatting>
  <conditionalFormatting sqref="F1:F47">
    <cfRule type="cellIs" dxfId="3" priority="2" operator="greaterThan">
      <formula>0</formula>
    </cfRule>
  </conditionalFormatting>
  <conditionalFormatting sqref="G1:G47">
    <cfRule type="cellIs" dxfId="2" priority="3" operator="lessThan">
      <formula>0</formula>
    </cfRule>
  </conditionalFormatting>
  <conditionalFormatting sqref="G1:G47">
    <cfRule type="cellIs" dxfId="4" priority="4" operator="greater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</v>
      </c>
      <c r="B1" s="3" t="s">
        <v>9</v>
      </c>
      <c r="C1" s="3" t="s">
        <v>10</v>
      </c>
      <c r="D1" s="3" t="s">
        <v>11</v>
      </c>
      <c r="E1" s="3" t="s">
        <v>12</v>
      </c>
    </row>
    <row r="2">
      <c r="A2" s="5" t="s">
        <v>13</v>
      </c>
      <c r="B2" s="5">
        <v>4.0</v>
      </c>
      <c r="C2" s="5">
        <v>3.5</v>
      </c>
      <c r="D2" s="6">
        <f>+0.5</f>
        <v>0.5</v>
      </c>
      <c r="E2" s="5" t="s">
        <v>17</v>
      </c>
    </row>
    <row r="3">
      <c r="A3" s="5" t="s">
        <v>18</v>
      </c>
      <c r="B3" s="5">
        <v>4.0</v>
      </c>
      <c r="C3" s="5">
        <v>3.6</v>
      </c>
      <c r="D3" s="6">
        <f>+0.4</f>
        <v>0.4</v>
      </c>
      <c r="E3" s="5" t="s">
        <v>17</v>
      </c>
    </row>
    <row r="4">
      <c r="A4" s="5" t="s">
        <v>19</v>
      </c>
      <c r="B4" s="5">
        <v>3.0</v>
      </c>
      <c r="C4" s="5">
        <v>3.4</v>
      </c>
      <c r="D4" s="5">
        <v>-0.4</v>
      </c>
      <c r="E4" s="5" t="s">
        <v>20</v>
      </c>
    </row>
    <row r="5">
      <c r="A5" s="5" t="s">
        <v>21</v>
      </c>
      <c r="B5" s="5">
        <v>4.0</v>
      </c>
      <c r="C5" s="5">
        <v>3.5</v>
      </c>
      <c r="D5" s="6">
        <f>+0.5</f>
        <v>0.5</v>
      </c>
      <c r="E5" s="5" t="s">
        <v>17</v>
      </c>
    </row>
    <row r="6">
      <c r="A6" s="5" t="s">
        <v>22</v>
      </c>
      <c r="B6" s="5">
        <v>3.0</v>
      </c>
      <c r="C6" s="5">
        <v>3.7</v>
      </c>
      <c r="D6" s="5">
        <v>-0.7</v>
      </c>
      <c r="E6" s="5" t="s">
        <v>23</v>
      </c>
    </row>
    <row r="7">
      <c r="A7" s="5" t="s">
        <v>24</v>
      </c>
      <c r="B7" s="5">
        <v>4.0</v>
      </c>
      <c r="C7" s="5">
        <v>3.3</v>
      </c>
      <c r="D7" s="6">
        <f>+0.7</f>
        <v>0.7</v>
      </c>
      <c r="E7" s="5" t="s">
        <v>17</v>
      </c>
    </row>
    <row r="8">
      <c r="A8" s="5" t="s">
        <v>25</v>
      </c>
      <c r="B8" s="5">
        <v>3.0</v>
      </c>
      <c r="C8" s="5">
        <v>3.2</v>
      </c>
      <c r="D8" s="5">
        <v>-0.2</v>
      </c>
      <c r="E8" s="5" t="s">
        <v>26</v>
      </c>
    </row>
  </sheetData>
  <conditionalFormatting sqref="A1:E8">
    <cfRule type="containsText" dxfId="0" priority="1" operator="containsText" text="✅">
      <formula>NOT(ISERROR(SEARCH(("✅"),(A1))))</formula>
    </cfRule>
  </conditionalFormatting>
  <conditionalFormatting sqref="A1:E8">
    <cfRule type="containsText" dxfId="1" priority="2" operator="containsText" text="⚠️">
      <formula>NOT(ISERROR(SEARCH(("⚠️"),(A1))))</formula>
    </cfRule>
  </conditionalFormatting>
  <conditionalFormatting sqref="A1:E8">
    <cfRule type="containsText" dxfId="2" priority="3" operator="containsText" text="🔴">
      <formula>NOT(ISERROR(SEARCH(("🔴"),(A1))))</formula>
    </cfRule>
  </conditionalFormatting>
  <drawing r:id="rId1"/>
</worksheet>
</file>