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cked Bar" sheetId="1" r:id="rId5"/>
    <sheet state="visible" name="IADI Scatter" sheetId="2" r:id="rId6"/>
    <sheet state="visible" name="Region Pivot" sheetId="3" r:id="rId7"/>
    <sheet state="visible" name="Notes" sheetId="4" r:id="rId8"/>
  </sheets>
  <definedNames>
    <definedName hidden="1" localSheetId="2" name="Z_0AD7C243_1EDA_4510_BBD8_9FB4800104FC_.wvu.FilterData">'Region Pivot'!$A$1:$G$211</definedName>
  </definedNames>
  <calcPr/>
  <customWorkbookViews>
    <customWorkbookView activeSheetId="0" maximized="1" windowHeight="0" windowWidth="0" guid="{0AD7C243-1EDA-4510-BBD8-9FB4800104FC}" name="Filter 1"/>
  </customWorkbookViews>
  <pivotCaches>
    <pivotCache cacheId="0" r:id="rId9"/>
  </pivotCaches>
</workbook>
</file>

<file path=xl/sharedStrings.xml><?xml version="1.0" encoding="utf-8"?>
<sst xmlns="http://schemas.openxmlformats.org/spreadsheetml/2006/main" count="313" uniqueCount="37">
  <si>
    <t>Nigeria's NDIC consistently maintains a fund adequacy ratio well above the IADI 14-country peer average, averaging 0.47 locally versus an IADI peer average of approximately 0.06, driven primarily by a concentrated deposit base and a steadily growing insurance fund that increased from ₦295.7bn in 2010 to ₦2,279.4bn in 2024. However, the 2024 data reveals a structural vulnerability: claims paid spiked from a flat ₦8.3bn range to ₦63.2bn, coinciding with the Naira devaluation shock and the NDIC coverage limit revision, while the IADI-reported fund adequacy ratio diverges sharply from the locally computed figure, signalling that exchange-rate exposure is the primary risk driver. The correlation heatmap confirms that lagged inflation and exchange rate depreciation are negatively correlated with fund adequacy, and the scatter plot positions Nigeria as a high-fund-adequacy, high-coverage outlier among African peers a strength in deposit protection depth, but one that must be interpreted alongside Nigeria's elevated macroeconomic volatility.</t>
  </si>
  <si>
    <t>country</t>
  </si>
  <si>
    <t>year</t>
  </si>
  <si>
    <t>coverage_limit_usd</t>
  </si>
  <si>
    <t>fund_balance_usd</t>
  </si>
  <si>
    <t>insured_deposits_usd</t>
  </si>
  <si>
    <t>fund_adequacy_ratio</t>
  </si>
  <si>
    <t>region</t>
  </si>
  <si>
    <t>Brazil</t>
  </si>
  <si>
    <t>Americas</t>
  </si>
  <si>
    <t>Canada</t>
  </si>
  <si>
    <t>India</t>
  </si>
  <si>
    <t>Indonesia</t>
  </si>
  <si>
    <t>avg_coverage_ratio</t>
  </si>
  <si>
    <t>fund_balance_bn</t>
  </si>
  <si>
    <t>avg_fund_adequacy</t>
  </si>
  <si>
    <t>Nigeria</t>
  </si>
  <si>
    <t>claims_paid_bn</t>
  </si>
  <si>
    <t>Africa</t>
  </si>
  <si>
    <t>premium_proxy_bn</t>
  </si>
  <si>
    <t>Tanzania</t>
  </si>
  <si>
    <t>note</t>
  </si>
  <si>
    <t>Uganda</t>
  </si>
  <si>
    <t>USA</t>
  </si>
  <si>
    <t>Asia</t>
  </si>
  <si>
    <t>"premium_proxy_bn=(B2 × mean_premium_rate_pct/100 × 1000"</t>
  </si>
  <si>
    <t>Malaysia</t>
  </si>
  <si>
    <t>Philippines</t>
  </si>
  <si>
    <t>Vietnam</t>
  </si>
  <si>
    <t>Japan</t>
  </si>
  <si>
    <t>South Korea</t>
  </si>
  <si>
    <t>Taiwan</t>
  </si>
  <si>
    <t>SUM of fund_adequacy_ratio</t>
  </si>
  <si>
    <t>Grand Total</t>
  </si>
  <si>
    <t>Africa Total</t>
  </si>
  <si>
    <t>Americas Total</t>
  </si>
  <si>
    <t>Asia Total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</si>
</sst>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color theme="1"/>
      <name val="Arial"/>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vertical="bottom" wrapText="1"/>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NDIC Fund Balance, Claims Paid &amp; Premium Revenue 2010–2024 (₦ billion)</a:t>
            </a:r>
          </a:p>
        </c:rich>
      </c:tx>
      <c:overlay val="0"/>
    </c:title>
    <c:plotArea>
      <c:layout/>
      <c:barChart>
        <c:barDir val="bar"/>
        <c:grouping val="stacked"/>
        <c:ser>
          <c:idx val="0"/>
          <c:order val="0"/>
          <c:tx>
            <c:strRef>
              <c:f>'Stacked Bar'!$B$1</c:f>
            </c:strRef>
          </c:tx>
          <c:spPr>
            <a:solidFill>
              <a:schemeClr val="accent1"/>
            </a:solidFill>
            <a:ln cmpd="sng">
              <a:noFill/>
            </a:ln>
          </c:spPr>
          <c:cat>
            <c:strRef>
              <c:f>'Stacked Bar'!$A$2:$A$16</c:f>
            </c:strRef>
          </c:cat>
          <c:val>
            <c:numRef>
              <c:f>'Stacked Bar'!$B$2:$B$16</c:f>
              <c:numCache/>
            </c:numRef>
          </c:val>
        </c:ser>
        <c:ser>
          <c:idx val="1"/>
          <c:order val="1"/>
          <c:tx>
            <c:strRef>
              <c:f>'Stacked Bar'!$C$1</c:f>
            </c:strRef>
          </c:tx>
          <c:spPr>
            <a:solidFill>
              <a:schemeClr val="accent2"/>
            </a:solidFill>
            <a:ln cmpd="sng">
              <a:noFill/>
            </a:ln>
          </c:spPr>
          <c:cat>
            <c:strRef>
              <c:f>'Stacked Bar'!$A$2:$A$16</c:f>
            </c:strRef>
          </c:cat>
          <c:val>
            <c:numRef>
              <c:f>'Stacked Bar'!$C$2:$C$16</c:f>
              <c:numCache/>
            </c:numRef>
          </c:val>
        </c:ser>
        <c:ser>
          <c:idx val="2"/>
          <c:order val="2"/>
          <c:tx>
            <c:strRef>
              <c:f>'Stacked Bar'!$D$1</c:f>
            </c:strRef>
          </c:tx>
          <c:spPr>
            <a:solidFill>
              <a:schemeClr val="accent3"/>
            </a:solidFill>
            <a:ln cmpd="sng">
              <a:noFill/>
            </a:ln>
          </c:spPr>
          <c:cat>
            <c:strRef>
              <c:f>'Stacked Bar'!$A$2:$A$16</c:f>
            </c:strRef>
          </c:cat>
          <c:val>
            <c:numRef>
              <c:f>'Stacked Bar'!$D$2:$D$16</c:f>
              <c:numCache/>
            </c:numRef>
          </c:val>
        </c:ser>
        <c:overlap val="100"/>
        <c:axId val="1825863403"/>
        <c:axId val="472433180"/>
      </c:barChart>
      <c:catAx>
        <c:axId val="182586340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Billion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2433180"/>
      </c:catAx>
      <c:valAx>
        <c:axId val="47243318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25863403"/>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400">
                <a:solidFill>
                  <a:srgbClr val="757575"/>
                </a:solidFill>
                <a:latin typeface="+mn-lt"/>
              </a:defRPr>
            </a:pPr>
            <a:r>
              <a:rPr b="0" sz="1400">
                <a:solidFill>
                  <a:srgbClr val="757575"/>
                </a:solidFill>
                <a:latin typeface="+mn-lt"/>
              </a:rPr>
              <a:t>Coverage Ratio vs Fund Adequacy Ratio — IADI Member DICs (Avg 2010–2024)</a:t>
            </a:r>
          </a:p>
        </c:rich>
      </c:tx>
      <c:overlay val="0"/>
    </c:title>
    <c:plotArea>
      <c:layout/>
      <c:scatterChart>
        <c:scatterStyle val="lineMarker"/>
        <c:ser>
          <c:idx val="0"/>
          <c:order val="0"/>
          <c:tx>
            <c:strRef>
              <c:f>'IADI Scatter'!$B$1</c:f>
            </c:strRef>
          </c:tx>
          <c:spPr>
            <a:ln>
              <a:noFill/>
            </a:ln>
          </c:spPr>
          <c:marker>
            <c:symbol val="circle"/>
            <c:size val="7"/>
            <c:spPr>
              <a:solidFill>
                <a:schemeClr val="accent1"/>
              </a:solidFill>
              <a:ln cmpd="sng">
                <a:solidFill>
                  <a:schemeClr val="accent1"/>
                </a:solidFill>
              </a:ln>
            </c:spPr>
          </c:marker>
          <c:xVal>
            <c:numRef>
              <c:f>'IADI Scatter'!$A$2:$A$15</c:f>
            </c:numRef>
          </c:xVal>
          <c:yVal>
            <c:numRef>
              <c:f>'IADI Scatter'!$B$2:$B$15</c:f>
              <c:numCache/>
            </c:numRef>
          </c:yVal>
        </c:ser>
        <c:ser>
          <c:idx val="1"/>
          <c:order val="1"/>
          <c:tx>
            <c:strRef>
              <c:f>'IADI Scatter'!$C$1</c:f>
            </c:strRef>
          </c:tx>
          <c:spPr>
            <a:ln>
              <a:noFill/>
            </a:ln>
          </c:spPr>
          <c:marker>
            <c:symbol val="circle"/>
            <c:size val="7"/>
            <c:spPr>
              <a:solidFill>
                <a:schemeClr val="accent2"/>
              </a:solidFill>
              <a:ln cmpd="sng">
                <a:solidFill>
                  <a:schemeClr val="accent2"/>
                </a:solidFill>
              </a:ln>
            </c:spPr>
          </c:marker>
          <c:dPt>
            <c:idx val="0"/>
            <c:marker>
              <c:symbol val="star"/>
              <c:size val="14"/>
              <c:spPr>
                <a:solidFill>
                  <a:srgbClr val="6AA84F"/>
                </a:solidFill>
                <a:ln cmpd="sng">
                  <a:solidFill>
                    <a:srgbClr val="6AA84F"/>
                  </a:solidFill>
                </a:ln>
              </c:spPr>
            </c:marker>
          </c:dPt>
          <c:xVal>
            <c:numRef>
              <c:f>'IADI Scatter'!$A$2:$A$15</c:f>
            </c:numRef>
          </c:xVal>
          <c:yVal>
            <c:numRef>
              <c:f>'IADI Scatter'!$C$2:$C$15</c:f>
              <c:numCache/>
            </c:numRef>
          </c:yVal>
        </c:ser>
        <c:dLbls>
          <c:showLegendKey val="0"/>
          <c:showVal val="0"/>
          <c:showCatName val="0"/>
          <c:showSerName val="0"/>
          <c:showPercent val="0"/>
          <c:showBubbleSize val="0"/>
        </c:dLbls>
        <c:axId val="978552624"/>
        <c:axId val="814938511"/>
      </c:scatterChart>
      <c:valAx>
        <c:axId val="9785526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14938511"/>
      </c:valAx>
      <c:valAx>
        <c:axId val="8149385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7855262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942975</xdr:colOff>
      <xdr:row>0</xdr:row>
      <xdr:rowOff>0</xdr:rowOff>
    </xdr:from>
    <xdr:ext cx="577215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952500</xdr:colOff>
      <xdr:row>0</xdr:row>
      <xdr:rowOff>0</xdr:rowOff>
    </xdr:from>
    <xdr:ext cx="5753100" cy="31432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G211" sheet="Region Pivot"/>
  </cacheSource>
  <cacheFields>
    <cacheField name="country" numFmtId="0">
      <sharedItems>
        <s v="Brazil"/>
        <s v="Canada"/>
        <s v="India"/>
        <s v="Indonesia"/>
        <s v="Japan"/>
        <s v="Malaysia"/>
        <s v="Nigeria"/>
        <s v="Philippines"/>
        <s v="South Korea"/>
        <s v="Taiwan"/>
        <s v="Tanzania"/>
        <s v="USA"/>
        <s v="Uganda"/>
        <s v="Vietnam"/>
      </sharedItems>
    </cacheField>
    <cacheField name="year" numFmtId="0">
      <sharedItems containsSemiMixedTypes="0" containsString="0" containsNumber="1" containsInteger="1">
        <n v="2010.0"/>
        <n v="2011.0"/>
        <n v="2012.0"/>
        <n v="2013.0"/>
        <n v="2014.0"/>
        <n v="2015.0"/>
        <n v="2016.0"/>
        <n v="2017.0"/>
        <n v="2018.0"/>
        <n v="2019.0"/>
        <n v="2020.0"/>
        <n v="2021.0"/>
        <n v="2022.0"/>
        <n v="2023.0"/>
        <n v="2024.0"/>
      </sharedItems>
    </cacheField>
    <cacheField name="coverage_limit_usd" numFmtId="0">
      <sharedItems containsSemiMixedTypes="0" containsString="0" containsNumber="1" containsInteger="1">
        <n v="39773.0"/>
        <n v="41667.0"/>
        <n v="35897.0"/>
        <n v="115741.0"/>
        <n v="106383.0"/>
        <n v="75075.0"/>
        <n v="71633.0"/>
        <n v="78370.0"/>
        <n v="68493.0"/>
        <n v="63452.0"/>
        <n v="46296.0"/>
        <n v="48450.0"/>
        <n v="50302.0"/>
        <n v="97100.0"/>
        <n v="101200.0"/>
        <n v="100100.0"/>
        <n v="90600.0"/>
        <n v="78300.0"/>
        <n v="75500.0"/>
        <n v="80000.0"/>
        <n v="77200.0"/>
        <n v="75400.0"/>
        <n v="74600.0"/>
        <n v="79800.0"/>
        <n v="76900.0"/>
        <n v="74100.0"/>
        <n v="73300.0"/>
        <n v="2188.0"/>
        <n v="2141.0"/>
        <n v="1873.0"/>
        <n v="1664.0"/>
        <n v="1613.0"/>
        <n v="1558.0"/>
        <n v="1504.0"/>
        <n v="1536.0"/>
        <n v="1475.0"/>
        <n v="1429.0"/>
        <n v="6748.0"/>
        <n v="6702.0"/>
        <n v="6258.0"/>
        <n v="5981.0"/>
        <n v="5974.0"/>
        <n v="220022.0"/>
        <n v="228050.0"/>
        <n v="213061.0"/>
        <n v="168563.0"/>
        <n v="160772.0"/>
        <n v="144980.0"/>
        <n v="148854.0"/>
        <n v="147623.0"/>
        <n v="140479.0"/>
        <n v="143875.0"/>
        <n v="141794.0"/>
        <n v="140164.0"/>
        <n v="127137.0"/>
        <n v="127405.0"/>
        <n v="124224.0"/>
        <n v="113895.0"/>
        <n v="125471.0"/>
        <n v="125313.0"/>
        <n v="102459.0"/>
        <n v="94607.0"/>
        <n v="82645.0"/>
        <n v="91912.0"/>
        <n v="89127.0"/>
        <n v="90580.0"/>
        <n v="91743.0"/>
        <n v="93633.0"/>
        <n v="91075.0"/>
        <n v="76046.0"/>
        <n v="71174.0"/>
        <n v="65876.0"/>
        <n v="18634.0"/>
        <n v="81699.0"/>
        <n v="80906.0"/>
        <n v="79365.0"/>
        <n v="76453.0"/>
        <n v="63939.0"/>
        <n v="60241.0"/>
        <n v="58140.0"/>
        <n v="62035.0"/>
        <n v="60386.0"/>
        <n v="59524.0"/>
        <n v="56818.0"/>
        <n v="54466.0"/>
        <n v="55928.0"/>
        <n v="1331.0"/>
        <n v="3250.0"/>
        <n v="3175.0"/>
        <n v="3178.0"/>
        <n v="3154.0"/>
        <n v="2598.0"/>
        <n v="1972.0"/>
        <n v="1635.0"/>
        <n v="1634.0"/>
        <n v="1629.0"/>
        <n v="1393.0"/>
        <n v="1246.0"/>
        <n v="1174.0"/>
        <n v="775.0"/>
        <n v="3381.0"/>
        <n v="11086.0"/>
        <n v="11547.0"/>
        <n v="11848.0"/>
        <n v="11792.0"/>
        <n v="11261.0"/>
        <n v="10989.0"/>
        <n v="10526.0"/>
        <n v="9921.0"/>
        <n v="9488.0"/>
        <n v="9653.0"/>
        <n v="10081.0"/>
        <n v="10020.0"/>
        <n v="9174.0"/>
        <n v="8993.0"/>
        <n v="8850.0"/>
        <n v="43290.0"/>
        <n v="45126.0"/>
        <n v="44366.0"/>
        <n v="45662.0"/>
        <n v="47483.0"/>
        <n v="44209.0"/>
        <n v="43066.0"/>
        <n v="44248.0"/>
        <n v="45413.0"/>
        <n v="42918.0"/>
        <n v="42373.0"/>
        <n v="43668.0"/>
        <n v="38700.0"/>
        <n v="38314.0"/>
        <n v="36684.0"/>
        <n v="95238.0"/>
        <n v="101695.0"/>
        <n v="101351.0"/>
        <n v="100671.0"/>
        <n v="98684.0"/>
        <n v="91185.0"/>
        <n v="92879.0"/>
        <n v="97720.0"/>
        <n v="97087.0"/>
        <n v="107527.0"/>
        <n v="100000.0"/>
        <n v="96463.0"/>
        <n v="92308.0"/>
        <n v="1065.0"/>
        <n v="954.0"/>
        <n v="948.0"/>
        <n v="937.0"/>
        <n v="909.0"/>
        <n v="690.0"/>
        <n v="689.0"/>
        <n v="673.0"/>
        <n v="663.0"/>
        <n v="653.0"/>
        <n v="648.0"/>
        <n v="642.0"/>
        <n v="2993.0"/>
        <n v="2764.0"/>
        <n v="250000.0"/>
        <n v="1290.0"/>
        <n v="1189.0"/>
        <n v="1198.0"/>
        <n v="1165.0"/>
        <n v="1154.0"/>
        <n v="928.0"/>
        <n v="896.0"/>
        <n v="830.0"/>
        <n v="811.0"/>
        <n v="800.0"/>
        <n v="2703.0"/>
        <n v="2825.0"/>
        <n v="2674.0"/>
        <n v="2632.0"/>
        <n v="2640.0"/>
        <n v="2696.0"/>
        <n v="2438.0"/>
        <n v="2401.0"/>
        <n v="2377.0"/>
        <n v="2364.0"/>
        <n v="2304.0"/>
        <n v="2256.0"/>
        <n v="3300.0"/>
        <n v="3217.0"/>
        <n v="3230.0"/>
        <n v="3232.0"/>
        <n v="3264.0"/>
        <n v="3167.0"/>
        <n v="3120.0"/>
        <n v="5102.0"/>
      </sharedItems>
    </cacheField>
    <cacheField name="fund_balance_usd" numFmtId="0">
      <sharedItems containsSemiMixedTypes="0" containsString="0" containsNumber="1" containsInteger="1">
        <n v="1.7045454545E10"/>
        <n v="2.0833333333E10"/>
        <n v="2.1025641026E10"/>
        <n v="2.4074074074E10"/>
        <n v="2.6382978723E10"/>
        <n v="2.1921921922E10"/>
        <n v="2.3782234957E10"/>
        <n v="2.9153605016E10"/>
        <n v="2.8219178082E10"/>
        <n v="2.8934010152E10"/>
        <n v="2.3148148148E10"/>
        <n v="2.5555555556E10"/>
        <n v="2.8875968992E10"/>
        <n v="3.2394366197E10"/>
        <n v="2.537037037E10"/>
        <n v="2.1362E9"/>
        <n v="2.53E9"/>
        <n v="2.8028E9"/>
        <n v="3.0101E9"/>
        <n v="3.0804E9"/>
        <n v="2.8971E9"/>
        <n v="2.98225E9"/>
        <n v="3.36E9"/>
        <n v="3.667E9"/>
        <n v="4.0339E9"/>
        <n v="4.476E9"/>
        <n v="5.4264E9"/>
        <n v="5.8444E9"/>
        <n v="6.1503E9"/>
        <n v="6.6703E9"/>
        <n v="4.376367615E9"/>
        <n v="5.139186296E9"/>
        <n v="5.243445693E9"/>
        <n v="5.490848586E9"/>
        <n v="6.290322581E9"/>
        <n v="7.165109034E9"/>
        <n v="8.120300752E9"/>
        <n v="9.831029186E9"/>
        <n v="1.1209439528E10"/>
        <n v="1.2714285714E10"/>
        <n v="1.4170040486E10"/>
        <n v="1.6756032172E10"/>
        <n v="1.8773466834E10"/>
        <n v="2.0933014354E10"/>
        <n v="2.3655913978E10"/>
        <n v="3.410341034E9"/>
        <n v="4.446978335E9"/>
        <n v="5.113454778E9"/>
        <n v="4.972608512E9"/>
        <n v="5.627009646E9"/>
        <n v="5.944182675E9"/>
        <n v="7.070556713E9"/>
        <n v="8.119279598E9"/>
        <n v="8.850179111E9"/>
        <n v="1.028702971E10"/>
        <n v="1.1485288905E10"/>
        <n v="1.275492326E10"/>
        <n v="1.2904456169E10"/>
        <n v="1.4269333673E10"/>
        <n v="1.5403726708E10"/>
        <n v="1.560364465E9"/>
        <n v="5.018820577E9"/>
        <n v="9.147869674E9"/>
        <n v="1.1270491803E10"/>
        <n v="1.4664143803E10"/>
        <n v="1.652892562E10"/>
        <n v="2.2058823529E10"/>
        <n v="2.495543672E10"/>
        <n v="2.8985507246E10"/>
        <n v="3.3027522936E10"/>
        <n v="3.7453183521E10"/>
        <n v="4.0983606557E10"/>
        <n v="3.7262357414E10"/>
        <n v="3.7722419929E10"/>
        <n v="3.7549407115E10"/>
        <n v="1.242236025E9"/>
        <n v="1.797385621E9"/>
        <n v="2.265372168E9"/>
        <n v="2.73015873E9"/>
        <n v="3.119266055E9"/>
        <n v="3.017902813E9"/>
        <n v="3.228915663E9"/>
        <n v="3.511627907E9"/>
        <n v="4.168734491E9"/>
        <n v="4.468599034E9"/>
        <n v="4.857142857E9"/>
        <n v="5.38647343E9"/>
        <n v="5.5E9"/>
        <n v="5.68627451E9"/>
        <n v="6.286353468E9"/>
        <n v="1.967531603E9"/>
        <n v="2.319511244E9"/>
        <n v="2.699746032E9"/>
        <n v="3.229673892E9"/>
        <n v="3.873604541E9"/>
        <n v="3.77042195E9"/>
        <n v="3.265967099E9"/>
        <n v="3.123646947E9"/>
        <n v="3.578247517E9"/>
        <n v="3.914179591E9"/>
        <n v="3.826119673E9"/>
        <n v="3.791250156E9"/>
        <n v="4.1380816E9"/>
        <n v="3.1101226E9"/>
        <n v="1.541180687E9"/>
        <n v="1.99556541E9"/>
        <n v="2.424942263E9"/>
        <n v="2.962085308E9"/>
        <n v="3.419811321E9"/>
        <n v="3.716216216E9"/>
        <n v="4.065934066E9"/>
        <n v="4.210526316E9"/>
        <n v="4.166666667E9"/>
        <n v="4.079696395E9"/>
        <n v="4.150579151E9"/>
        <n v="4.330645161E9"/>
        <n v="5.01002004E9"/>
        <n v="5.321100917E9"/>
        <n v="5.935251799E9"/>
        <n v="6.460176991E9"/>
        <n v="6.926406926E9"/>
        <n v="8.393501805E9"/>
        <n v="9.494232476E9"/>
        <n v="1.1232876712E10"/>
        <n v="1.3295346629E10"/>
        <n v="1.3969938108E10"/>
        <n v="1.5245478036E10"/>
        <n v="1.7433628319E10"/>
        <n v="1.9800181653E10"/>
        <n v="2.0600858369E10"/>
        <n v="2.2288135593E10"/>
        <n v="2.5065502183E10"/>
        <n v="2.3916408669E10"/>
        <n v="2.5134099617E10"/>
        <n v="2.5605282465E10"/>
        <n v="6.3492063E7"/>
        <n v="1.69491525E8"/>
        <n v="3.04054054E8"/>
        <n v="4.69798658E8"/>
        <n v="6.57894737E8"/>
        <n v="7.59878419E8"/>
        <n v="8.97832817E8"/>
        <n v="1.052631579E9"/>
        <n v="1.140065147E9"/>
        <n v="1.197411003E9"/>
        <n v="1.288135593E9"/>
        <n v="1.64874552E9"/>
        <n v="1.866666667E9"/>
        <n v="2.122186495E9"/>
        <n v="2.338461538E9"/>
        <n v="1.31298793E8"/>
        <n v="1.55753338E8"/>
        <n v="1.98989261E8"/>
        <n v="2.49843848E8"/>
        <n v="3.0284676E8"/>
        <n v="2.82758621E8"/>
        <n v="3.35169881E8"/>
        <n v="3.85823239E8"/>
        <n v="4.46310208E8"/>
        <n v="5.09138381E8"/>
        <n v="5.85801394E8"/>
        <n v="6.56303972E8"/>
        <n v="7.27739726E8"/>
        <n v="7.54189944E8"/>
        <n v="7.74050866E8"/>
        <n v="-7.4E9"/>
        <n v="1.18E10"/>
        <n v="2.5E10"/>
        <n v="3.7E10"/>
        <n v="5.5E10"/>
        <n v="6.7E10"/>
        <n v="7.7E10"/>
        <n v="8.4E10"/>
        <n v="1.0E11"/>
        <n v="1.08E11"/>
        <n v="1.17E11"/>
        <n v="1.24E11"/>
        <n v="1.255E11"/>
        <n v="1.16E11"/>
        <n v="1.28E11"/>
        <n v="3.4408602E7"/>
        <n v="4.1617122E7"/>
        <n v="5.508982E7"/>
        <n v="6.9902913E7"/>
        <n v="9.2307692E7"/>
        <n v="9.6784168E7"/>
        <n v="1.1641791E8"/>
        <n v="1.30085801E8"/>
        <n v="1.55405405E8"/>
        <n v="1.85333333E8"/>
        <n v="2.22702703E8"/>
        <n v="2.72881356E8"/>
        <n v="3.07486631E8"/>
        <n v="3.68421053E8"/>
        <n v="4.28194298E8"/>
        <n v="1.886995903E9"/>
        <n v="1.999024866E9"/>
        <n v="2.304589975E9"/>
        <n v="2.662103061E9"/>
        <n v="3.073576698E9"/>
        <n v="3.456699083E9"/>
        <n v="3.92599278E9"/>
        <n v="4.400440044E9"/>
        <n v="4.933293295E9"/>
        <n v="5.640959394E9"/>
        <n v="6.377111341E9"/>
        <n v="7.180781617E9"/>
        <n v="7.726735349E9"/>
        <n v="8.320159747E9"/>
        <n v="8.979591837E9"/>
      </sharedItems>
    </cacheField>
    <cacheField name="insured_deposits_usd" numFmtId="0">
      <sharedItems containsSemiMixedTypes="0" containsString="0" containsNumber="1" containsInteger="1">
        <n v="3.75E11"/>
        <n v="4.60714285714E11"/>
        <n v="4.56923076923E11"/>
        <n v="9.70185185185E11"/>
        <n v="1.005191489362E12"/>
        <n v="7.83843843844E11"/>
        <n v="8.10085959885E11"/>
        <n v="9.36802507837E11"/>
        <n v="8.69698630137E11"/>
        <n v="8.63908629442E11"/>
        <n v="7.11851851852E11"/>
        <n v="7.92222222222E11"/>
        <n v="8.89147286822E11"/>
        <n v="9.85513078471E11"/>
        <n v="9.75925925926E11"/>
        <n v="5.51528E11"/>
        <n v="5.9708E11"/>
        <n v="6.13613E11"/>
        <n v="6.19498E11"/>
        <n v="6.0249E11"/>
        <n v="5.42619E11"/>
        <n v="5.53415E11"/>
        <n v="6.192E11"/>
        <n v="6.4076E11"/>
        <n v="6.69552E11"/>
        <n v="7.2362E11"/>
        <n v="8.4588E11"/>
        <n v="8.6897E11"/>
        <n v="8.8179E11"/>
        <n v="9.09653E11"/>
        <n v="2.07877461707E11"/>
        <n v="2.4625267666E11"/>
        <n v="2.58426966292E11"/>
        <n v="2.74542429285E11"/>
        <n v="3.14516129032E11"/>
        <n v="3.5046728972E11"/>
        <n v="3.83458646617E11"/>
        <n v="4.45468509985E11"/>
        <n v="4.86725663717E11"/>
        <n v="5.35714285714E11"/>
        <n v="8.77192982456E11"/>
        <n v="1.005361930295E12"/>
        <n v="1.026282853567E12"/>
        <n v="1.052631578947E12"/>
        <n v="1.123058542413E12"/>
        <n v="1.55891089109E11"/>
        <n v="1.8382668187E11"/>
        <n v="1.8474379461E11"/>
        <n v="1.64208175306E11"/>
        <n v="1.66109324759E11"/>
        <n v="1.52807538963E11"/>
        <n v="1.71860672819E11"/>
        <n v="1.84572630647E11"/>
        <n v="1.80768420313E11"/>
        <n v="1.94575929789E11"/>
        <n v="2.10932293513E11"/>
        <n v="2.19393790735E11"/>
        <n v="2.0484393872E11"/>
        <n v="2.11681105873E11"/>
        <n v="2.12422360248E11"/>
        <n v="7.403189066059E12"/>
        <n v="8.281053952321E12"/>
        <n v="8.458646616541E12"/>
        <n v="7.069672131148E12"/>
        <n v="6.669820245979E12"/>
        <n v="5.909090909091E12"/>
        <n v="6.709558823529E12"/>
        <n v="6.639928698752E12"/>
        <n v="6.884057971014E12"/>
        <n v="7.110091743119E12"/>
        <n v="7.584269662921E12"/>
        <n v="7.650273224044E12"/>
        <n v="6.501901140684E12"/>
        <n v="6.192170818505E12"/>
        <n v="5.830039525692E12"/>
        <n v="6.0248447205E10"/>
        <n v="2.54117647059E11"/>
        <n v="2.74951456311E11"/>
        <n v="2.94857142857E11"/>
        <n v="3.12660550459E11"/>
        <n v="2.8358056266E11"/>
        <n v="2.84530120482E11"/>
        <n v="2.91348837209E11"/>
        <n v="3.30521091811E11"/>
        <n v="3.40869565217E11"/>
        <n v="3.65142857143E11"/>
        <n v="3.94782608696E11"/>
        <n v="3.89454545455E11"/>
        <n v="3.87450980392E11"/>
        <n v="4.15570469799E11"/>
        <n v="8.720159681E9"/>
        <n v="6.512023918E9"/>
        <n v="1.4667492063E10"/>
        <n v="8.134002924E9"/>
        <n v="8.677325765E9"/>
        <n v="7.976927874E9"/>
        <n v="5.554104698E9"/>
        <n v="5.236011642E9"/>
        <n v="6.431651856E9"/>
        <n v="6.861657761E9"/>
        <n v="6.230177531E9"/>
        <n v="6.424330051E9"/>
        <n v="6.917226161E9"/>
        <n v="6.703389699E9"/>
        <n v="3.245501937E9"/>
        <n v="2.3059866962E10"/>
        <n v="2.7251732102E10"/>
        <n v="3.1753554502E10"/>
        <n v="3.5849056604E10"/>
        <n v="3.8288288288E10"/>
        <n v="4.1318681319E10"/>
        <n v="4.3789473684E10"/>
        <n v="4.5634920635E10"/>
        <n v="4.8576850095E10"/>
        <n v="5.2084942085E10"/>
        <n v="6.0524193548E10"/>
        <n v="6.2044088176E10"/>
        <n v="6.1100917431E10"/>
        <n v="6.2805755396E10"/>
        <n v="6.6109734513E10"/>
        <n v="1.852813852814E12"/>
        <n v="2.048736462094E12"/>
        <n v="2.156166814552E12"/>
        <n v="2.374429223744E12"/>
        <n v="2.640075973409E12"/>
        <n v="2.617152961981E12"/>
        <n v="2.695951765719E12"/>
        <n v="2.929203539823E12"/>
        <n v="3.188010899183E12"/>
        <n v="3.19313304721E12"/>
        <n v="3.35593220339E12"/>
        <n v="3.624454148472E12"/>
        <n v="3.343653250774E12"/>
        <n v="3.409961685824E12"/>
        <n v="3.374908290536E12"/>
        <n v="1.61904761905E11"/>
        <n v="1.78644067797E11"/>
        <n v="1.86655405405E11"/>
        <n v="1.93959731544E11"/>
        <n v="1.98519736842E11"/>
        <n v="1.91185410334E11"/>
        <n v="2.02631578947E11"/>
        <n v="2.23684210526E11"/>
        <n v="2.29804560261E11"/>
        <n v="2.36569579288E11"/>
        <n v="2.59322033898E11"/>
        <n v="2.89426523297E11"/>
        <n v="2.77666666667E11"/>
        <n v="2.76045016077E11"/>
        <n v="2.72E11"/>
        <n v="2.860184528E9"/>
        <n v="3.223140496E9"/>
        <n v="3.900821226E9"/>
        <n v="4.547158026E9"/>
        <n v="5.31496063E9"/>
        <n v="4.72183908E9"/>
        <n v="5.133149679E9"/>
        <n v="5.540601166E9"/>
        <n v="6.175430844E9"/>
        <n v="6.731940818E9"/>
        <n v="7.785278746E9"/>
        <n v="8.700345423E9"/>
        <n v="1.0017123288E10"/>
        <n v="1.0893854749E10"/>
        <n v="1.1979358644E10"/>
        <n v="5.4E12"/>
        <n v="6.3E12"/>
        <n v="7.4E12"/>
        <n v="7.0E12"/>
        <n v="6.7E12"/>
        <n v="6.4E12"/>
        <n v="6.8E12"/>
        <n v="7.1E12"/>
        <n v="7.338E12"/>
        <n v="7.66E12"/>
        <n v="9.0E12"/>
        <n v="9.5E12"/>
        <n v="9.9E12"/>
        <n v="1.045E13"/>
        <n v="1.0E13"/>
        <n v="1.537634409E9"/>
        <n v="1.743955608E9"/>
        <n v="2.085828343E9"/>
        <n v="2.349514563E9"/>
        <n v="2.75E9"/>
        <n v="2.551020408E9"/>
        <n v="2.708955224E9"/>
        <n v="2.740105176E9"/>
        <n v="2.898648649E9"/>
        <n v="3.226666667E9"/>
        <n v="4.743243243E9"/>
        <n v="5.692090395E9"/>
        <n v="5.909090909E9"/>
        <n v="6.5E9"/>
        <n v="7.378563886E9"/>
        <n v="2.9113651068E10"/>
        <n v="3.1594344222E10"/>
        <n v="3.6297292107E10"/>
        <n v="4.1928123217E10"/>
        <n v="4.8515226026E10"/>
        <n v="5.3924505692E10"/>
        <n v="6.0108303249E10"/>
        <n v="8.1320132013E10"/>
        <n v="8.9657243362E10"/>
        <n v="1.01365026052E11"/>
        <n v="1.11857980007E11"/>
        <n v="1.24466881365E11"/>
        <n v="1.31903394697E11"/>
        <n v="1.37282635827E11"/>
        <n v="1.82857142857E11"/>
      </sharedItems>
    </cacheField>
    <cacheField name="fund_adequacy_ratio" numFmtId="0">
      <sharedItems containsSemiMixedTypes="0" containsString="0" containsNumber="1">
        <n v="0.0455"/>
        <n v="0.0452"/>
        <n v="0.046"/>
        <n v="0.0248"/>
        <n v="0.0262"/>
        <n v="0.028"/>
        <n v="0.0294"/>
        <n v="0.0311"/>
        <n v="0.0324"/>
        <n v="0.0335"/>
        <n v="0.0325"/>
        <n v="0.0323"/>
        <n v="0.0329"/>
        <n v="0.026"/>
        <n v="0.0039"/>
        <n v="0.0042"/>
        <n v="0.0046"/>
        <n v="0.0049"/>
        <n v="0.0051"/>
        <n v="0.0053"/>
        <n v="0.0054"/>
        <n v="0.0057"/>
        <n v="0.006"/>
        <n v="0.0062"/>
        <n v="0.0064"/>
        <n v="0.0067"/>
        <n v="0.007"/>
        <n v="0.0073"/>
        <n v="0.0211"/>
        <n v="0.0209"/>
        <n v="0.0203"/>
        <n v="0.02"/>
        <n v="0.0204"/>
        <n v="0.0212"/>
        <n v="0.0221"/>
        <n v="0.023"/>
        <n v="0.0237"/>
        <n v="0.0162"/>
        <n v="0.0167"/>
        <n v="0.0183"/>
        <n v="0.0199"/>
        <n v="0.0219"/>
        <n v="0.0242"/>
        <n v="0.0277"/>
        <n v="0.0303"/>
        <n v="0.0339"/>
        <n v="0.0389"/>
        <n v="0.0411"/>
        <n v="0.044"/>
        <n v="0.049"/>
        <n v="0.0529"/>
        <n v="0.0545"/>
        <n v="0.0581"/>
        <n v="0.063"/>
        <n v="0.0674"/>
        <n v="0.0725"/>
        <n v="2.0E-4"/>
        <n v="6.0E-4"/>
        <n v="0.0011"/>
        <n v="0.0016"/>
        <n v="0.0022"/>
        <n v="0.0028"/>
        <n v="0.0033"/>
        <n v="0.0038"/>
        <n v="0.0061"/>
        <n v="0.0206"/>
        <n v="0.0071"/>
        <n v="0.0082"/>
        <n v="0.0093"/>
        <n v="0.01"/>
        <n v="0.0106"/>
        <n v="0.0113"/>
        <n v="0.0121"/>
        <n v="0.0126"/>
        <n v="0.0131"/>
        <n v="0.0133"/>
        <n v="0.0136"/>
        <n v="0.0141"/>
        <n v="0.0147"/>
        <n v="0.0151"/>
        <n v="0.2256"/>
        <n v="0.3562"/>
        <n v="0.1841"/>
        <n v="0.3971"/>
        <n v="0.4464"/>
        <n v="0.4727"/>
        <n v="0.588"/>
        <n v="0.5966"/>
        <n v="0.5563"/>
        <n v="0.5704"/>
        <n v="0.6141"/>
        <n v="0.5901"/>
        <n v="0.5982"/>
        <n v="0.464"/>
        <n v="0.4749"/>
        <n v="0.0865"/>
        <n v="0.089"/>
        <n v="0.0933"/>
        <n v="0.0954"/>
        <n v="0.0971"/>
        <n v="0.0984"/>
        <n v="0.0962"/>
        <n v="0.0913"/>
        <n v="0.084"/>
        <n v="0.0797"/>
        <n v="0.0716"/>
        <n v="0.0807"/>
        <n v="0.0871"/>
        <n v="0.0945"/>
        <n v="0.0977"/>
        <n v="0.0037"/>
        <n v="0.0041"/>
        <n v="0.0044"/>
        <n v="0.0047"/>
        <n v="0.005"/>
        <n v="0.0065"/>
        <n v="0.0066"/>
        <n v="0.0069"/>
        <n v="0.0072"/>
        <n v="0.0074"/>
        <n v="0.0076"/>
        <n v="4.0E-4"/>
        <n v="9.0E-4"/>
        <n v="0.0024"/>
        <n v="0.004"/>
        <n v="0.0077"/>
        <n v="0.0086"/>
        <n v="0.0459"/>
        <n v="0.0483"/>
        <n v="0.051"/>
        <n v="0.0549"/>
        <n v="0.057"/>
        <n v="0.0599"/>
        <n v="0.0653"/>
        <n v="0.0696"/>
        <n v="0.0723"/>
        <n v="0.0756"/>
        <n v="0.0752"/>
        <n v="0.0754"/>
        <n v="0.0726"/>
        <n v="0.0692"/>
        <n v="0.0646"/>
        <n v="-0.0014"/>
        <n v="0.0019"/>
        <n v="0.0034"/>
        <n v="0.0105"/>
        <n v="0.0118"/>
        <n v="0.013"/>
        <n v="0.0127"/>
        <n v="0.0111"/>
        <n v="0.0128"/>
        <n v="0.0224"/>
        <n v="0.0239"/>
        <n v="0.0264"/>
        <n v="0.0298"/>
        <n v="0.0336"/>
        <n v="0.0379"/>
        <n v="0.043"/>
        <n v="0.0475"/>
        <n v="0.0536"/>
        <n v="0.0574"/>
        <n v="0.047"/>
        <n v="0.0479"/>
        <n v="0.052"/>
        <n v="0.0567"/>
        <n v="0.058"/>
        <n v="0.0648"/>
        <n v="0.0633"/>
        <n v="0.0635"/>
        <n v="0.0634"/>
        <n v="0.0641"/>
        <n v="0.0541"/>
        <n v="0.055"/>
        <n v="0.0556"/>
        <n v="0.0577"/>
        <n v="0.0586"/>
        <n v="0.0606"/>
        <n v="0.0491"/>
      </sharedItems>
    </cacheField>
    <cacheField name="region" numFmtId="0">
      <sharedItems>
        <s v="Americas"/>
        <s v="Asia"/>
        <s v="Africa"/>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Pivot" cacheId="0" dataCaption="" compact="0" compactData="0">
  <location ref="H92:Y111" firstHeaderRow="0" firstDataRow="2" firstDataCol="1"/>
  <pivotFields>
    <pivotField name="country" axis="axisRow" compact="0" outline="0" multipleItemSelectionAllowed="1" showAll="0" sortType="ascending">
      <items>
        <item x="0"/>
        <item x="1"/>
        <item x="2"/>
        <item x="3"/>
        <item x="4"/>
        <item x="5"/>
        <item x="6"/>
        <item x="7"/>
        <item x="8"/>
        <item x="9"/>
        <item x="10"/>
        <item x="12"/>
        <item x="11"/>
        <item x="13"/>
        <item t="default"/>
      </items>
    </pivotField>
    <pivotField name="year" axis="axisCol" compact="0" outline="0" multipleItemSelectionAllowed="1" showAll="0" sortType="ascending">
      <items>
        <item x="0"/>
        <item x="1"/>
        <item x="2"/>
        <item x="3"/>
        <item x="4"/>
        <item x="5"/>
        <item x="6"/>
        <item x="7"/>
        <item x="8"/>
        <item x="9"/>
        <item x="10"/>
        <item x="11"/>
        <item x="12"/>
        <item x="13"/>
        <item x="14"/>
        <item t="default"/>
      </items>
    </pivotField>
    <pivotField name="coverage_limit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t="default"/>
      </items>
    </pivotField>
    <pivotField name="fund_balance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insured_deposits_us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name="fund_adequacy_rati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t="default"/>
      </items>
    </pivotField>
    <pivotField name="region" axis="axisRow" compact="0" outline="0" multipleItemSelectionAllowed="1" showAll="0" sortType="ascending">
      <items>
        <item x="2"/>
        <item x="0"/>
        <item x="1"/>
        <item t="default"/>
      </items>
    </pivotField>
  </pivotFields>
  <rowFields>
    <field x="6"/>
    <field x="0"/>
  </rowFields>
  <colFields>
    <field x="1"/>
  </colFields>
  <dataFields>
    <dataField name="SUM of fund_adequacy_ratio" fld="5"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v>
      </c>
      <c r="B1" s="6" t="s">
        <v>14</v>
      </c>
      <c r="C1" s="6" t="s">
        <v>17</v>
      </c>
      <c r="D1" s="6" t="s">
        <v>19</v>
      </c>
      <c r="E1" s="7" t="s">
        <v>21</v>
      </c>
    </row>
    <row r="2">
      <c r="A2" s="3">
        <v>2010.0</v>
      </c>
      <c r="B2" s="3">
        <v>295.72</v>
      </c>
      <c r="C2" s="3">
        <v>7.6</v>
      </c>
      <c r="D2" s="3">
        <v>69.38</v>
      </c>
      <c r="E2" s="8" t="s">
        <v>25</v>
      </c>
    </row>
    <row r="3">
      <c r="A3" s="3">
        <v>2011.0</v>
      </c>
      <c r="B3" s="3">
        <v>356.88</v>
      </c>
      <c r="C3" s="3">
        <v>6.68</v>
      </c>
      <c r="D3" s="3">
        <v>67.82</v>
      </c>
    </row>
    <row r="4">
      <c r="A4" s="3">
        <v>2012.0</v>
      </c>
      <c r="B4" s="3">
        <v>425.21</v>
      </c>
      <c r="C4" s="3">
        <v>6.82</v>
      </c>
      <c r="D4" s="3">
        <v>74.83</v>
      </c>
    </row>
    <row r="5">
      <c r="A5" s="3">
        <v>2013.0</v>
      </c>
      <c r="B5" s="3">
        <v>508.06</v>
      </c>
      <c r="C5" s="3">
        <v>6.82</v>
      </c>
      <c r="D5" s="3">
        <v>83.85</v>
      </c>
    </row>
    <row r="6">
      <c r="A6" s="3">
        <v>2014.0</v>
      </c>
      <c r="B6" s="3">
        <v>614.16</v>
      </c>
      <c r="C6" s="3">
        <v>6.83</v>
      </c>
      <c r="D6" s="3">
        <v>86.5</v>
      </c>
    </row>
    <row r="7">
      <c r="A7" s="3">
        <v>2015.0</v>
      </c>
      <c r="B7" s="3">
        <v>725.58</v>
      </c>
      <c r="C7" s="3">
        <v>6.8</v>
      </c>
      <c r="D7" s="3">
        <v>70.04</v>
      </c>
    </row>
    <row r="8">
      <c r="A8" s="3">
        <v>2016.0</v>
      </c>
      <c r="B8" s="3">
        <v>827.89</v>
      </c>
      <c r="C8" s="3">
        <v>6.8</v>
      </c>
      <c r="D8" s="3">
        <v>79.72</v>
      </c>
    </row>
    <row r="9">
      <c r="A9" s="3">
        <v>2017.0</v>
      </c>
      <c r="B9" s="3">
        <v>955.18</v>
      </c>
      <c r="C9" s="3">
        <v>8.25</v>
      </c>
      <c r="D9" s="3">
        <v>89.15</v>
      </c>
    </row>
    <row r="10">
      <c r="A10" s="3">
        <v>2018.0</v>
      </c>
      <c r="B10" s="3">
        <v>1095.23</v>
      </c>
      <c r="C10" s="3">
        <v>8.25</v>
      </c>
      <c r="D10" s="3">
        <v>97.79</v>
      </c>
    </row>
    <row r="11">
      <c r="A11" s="3">
        <v>2019.0</v>
      </c>
      <c r="B11" s="3">
        <v>1201.34</v>
      </c>
      <c r="C11" s="3">
        <v>8.26</v>
      </c>
      <c r="D11" s="3">
        <v>110.81</v>
      </c>
    </row>
    <row r="12">
      <c r="A12" s="3">
        <v>2020.0</v>
      </c>
      <c r="B12" s="3">
        <v>1372.85</v>
      </c>
      <c r="C12" s="3">
        <v>8.27</v>
      </c>
      <c r="D12" s="3">
        <v>134.86</v>
      </c>
    </row>
    <row r="13">
      <c r="A13" s="3">
        <v>2021.0</v>
      </c>
      <c r="B13" s="3">
        <v>1520.86</v>
      </c>
      <c r="C13" s="3">
        <v>8.27</v>
      </c>
      <c r="D13" s="3">
        <v>157.44</v>
      </c>
    </row>
    <row r="14">
      <c r="A14" s="3">
        <v>2022.0</v>
      </c>
      <c r="B14" s="3">
        <v>1762.74</v>
      </c>
      <c r="C14" s="3">
        <v>8.28</v>
      </c>
      <c r="D14" s="3">
        <v>182.0</v>
      </c>
    </row>
    <row r="15">
      <c r="A15" s="3">
        <v>2023.0</v>
      </c>
      <c r="B15" s="3">
        <v>2006.62</v>
      </c>
      <c r="C15" s="3">
        <v>8.28</v>
      </c>
      <c r="D15" s="3">
        <v>286.32</v>
      </c>
    </row>
    <row r="16">
      <c r="A16" s="3">
        <v>2024.0</v>
      </c>
      <c r="B16" s="3">
        <v>2279.36</v>
      </c>
      <c r="C16" s="3">
        <v>63.21</v>
      </c>
      <c r="D16" s="3">
        <v>408.44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v>
      </c>
      <c r="B1" s="6" t="s">
        <v>7</v>
      </c>
      <c r="C1" s="6" t="s">
        <v>13</v>
      </c>
      <c r="D1" s="6" t="s">
        <v>15</v>
      </c>
    </row>
    <row r="2">
      <c r="A2" s="3" t="s">
        <v>16</v>
      </c>
      <c r="B2" s="3" t="s">
        <v>18</v>
      </c>
      <c r="C2" s="3">
        <v>1.08</v>
      </c>
      <c r="D2" s="3">
        <v>0.47</v>
      </c>
    </row>
    <row r="3">
      <c r="A3" s="3" t="s">
        <v>20</v>
      </c>
      <c r="B3" s="3" t="s">
        <v>18</v>
      </c>
      <c r="C3" s="3">
        <v>0.97</v>
      </c>
      <c r="D3" s="3">
        <v>0.06</v>
      </c>
    </row>
    <row r="4">
      <c r="A4" s="3" t="s">
        <v>22</v>
      </c>
      <c r="B4" s="3" t="s">
        <v>18</v>
      </c>
      <c r="C4" s="3">
        <v>2.3</v>
      </c>
      <c r="D4" s="3">
        <v>0.04</v>
      </c>
    </row>
    <row r="5">
      <c r="A5" s="3" t="s">
        <v>23</v>
      </c>
      <c r="B5" s="3" t="s">
        <v>9</v>
      </c>
      <c r="C5" s="3">
        <v>0.0</v>
      </c>
      <c r="D5" s="3">
        <v>0.01</v>
      </c>
    </row>
    <row r="6">
      <c r="A6" s="3" t="s">
        <v>10</v>
      </c>
      <c r="B6" s="3" t="s">
        <v>9</v>
      </c>
      <c r="C6" s="3">
        <v>0.0</v>
      </c>
      <c r="D6" s="3">
        <v>0.01</v>
      </c>
    </row>
    <row r="7">
      <c r="A7" s="3" t="s">
        <v>8</v>
      </c>
      <c r="B7" s="3" t="s">
        <v>9</v>
      </c>
      <c r="C7" s="3">
        <v>0.01</v>
      </c>
      <c r="D7" s="3">
        <v>0.03</v>
      </c>
    </row>
    <row r="8">
      <c r="A8" s="3" t="s">
        <v>11</v>
      </c>
      <c r="B8" s="3" t="s">
        <v>24</v>
      </c>
      <c r="C8" s="3">
        <v>0.0</v>
      </c>
      <c r="D8" s="3">
        <v>0.02</v>
      </c>
    </row>
    <row r="9">
      <c r="A9" s="3" t="s">
        <v>12</v>
      </c>
      <c r="B9" s="3" t="s">
        <v>24</v>
      </c>
      <c r="C9" s="3">
        <v>0.04</v>
      </c>
      <c r="D9" s="3">
        <v>0.04</v>
      </c>
    </row>
    <row r="10">
      <c r="A10" s="3" t="s">
        <v>26</v>
      </c>
      <c r="B10" s="3" t="s">
        <v>24</v>
      </c>
      <c r="C10" s="3">
        <v>0.01</v>
      </c>
      <c r="D10" s="3">
        <v>0.01</v>
      </c>
    </row>
    <row r="11">
      <c r="A11" s="3" t="s">
        <v>27</v>
      </c>
      <c r="B11" s="3" t="s">
        <v>24</v>
      </c>
      <c r="C11" s="3">
        <v>0.0</v>
      </c>
      <c r="D11" s="3">
        <v>0.09</v>
      </c>
    </row>
    <row r="12">
      <c r="A12" s="3" t="s">
        <v>28</v>
      </c>
      <c r="B12" s="3" t="s">
        <v>24</v>
      </c>
      <c r="C12" s="3">
        <v>0.0</v>
      </c>
      <c r="D12" s="3">
        <v>0.06</v>
      </c>
    </row>
    <row r="13">
      <c r="A13" s="3" t="s">
        <v>29</v>
      </c>
      <c r="B13" s="3" t="s">
        <v>24</v>
      </c>
      <c r="C13" s="3">
        <v>0.0</v>
      </c>
      <c r="D13" s="3">
        <v>0.0</v>
      </c>
    </row>
    <row r="14">
      <c r="A14" s="3" t="s">
        <v>30</v>
      </c>
      <c r="B14" s="3" t="s">
        <v>24</v>
      </c>
      <c r="C14" s="3">
        <v>0.0</v>
      </c>
      <c r="D14" s="3">
        <v>0.01</v>
      </c>
    </row>
    <row r="15">
      <c r="A15" s="3" t="s">
        <v>31</v>
      </c>
      <c r="B15" s="3" t="s">
        <v>24</v>
      </c>
      <c r="C15" s="3">
        <v>0.0</v>
      </c>
      <c r="D15" s="3">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v>
      </c>
      <c r="B1" s="2" t="s">
        <v>2</v>
      </c>
      <c r="C1" s="2" t="s">
        <v>3</v>
      </c>
      <c r="D1" s="2" t="s">
        <v>4</v>
      </c>
      <c r="E1" s="2" t="s">
        <v>5</v>
      </c>
      <c r="F1" s="2" t="s">
        <v>6</v>
      </c>
      <c r="G1" s="3" t="s">
        <v>7</v>
      </c>
    </row>
    <row r="2">
      <c r="A2" s="4" t="s">
        <v>8</v>
      </c>
      <c r="B2" s="5">
        <v>2010.0</v>
      </c>
      <c r="C2" s="5">
        <v>39773.0</v>
      </c>
      <c r="D2" s="5">
        <v>1.7045454545E10</v>
      </c>
      <c r="E2" s="5">
        <v>3.75E11</v>
      </c>
      <c r="F2" s="5">
        <v>0.0455</v>
      </c>
      <c r="G2" s="3" t="s">
        <v>9</v>
      </c>
    </row>
    <row r="3">
      <c r="A3" s="4" t="s">
        <v>8</v>
      </c>
      <c r="B3" s="5">
        <v>2011.0</v>
      </c>
      <c r="C3" s="5">
        <v>41667.0</v>
      </c>
      <c r="D3" s="5">
        <v>2.0833333333E10</v>
      </c>
      <c r="E3" s="5">
        <v>4.60714285714E11</v>
      </c>
      <c r="F3" s="5">
        <v>0.0452</v>
      </c>
      <c r="G3" s="3" t="s">
        <v>9</v>
      </c>
    </row>
    <row r="4">
      <c r="A4" s="4" t="s">
        <v>8</v>
      </c>
      <c r="B4" s="5">
        <v>2012.0</v>
      </c>
      <c r="C4" s="5">
        <v>35897.0</v>
      </c>
      <c r="D4" s="5">
        <v>2.1025641026E10</v>
      </c>
      <c r="E4" s="5">
        <v>4.56923076923E11</v>
      </c>
      <c r="F4" s="5">
        <v>0.046</v>
      </c>
      <c r="G4" s="3" t="s">
        <v>9</v>
      </c>
    </row>
    <row r="5">
      <c r="A5" s="4" t="s">
        <v>8</v>
      </c>
      <c r="B5" s="5">
        <v>2013.0</v>
      </c>
      <c r="C5" s="5">
        <v>115741.0</v>
      </c>
      <c r="D5" s="5">
        <v>2.4074074074E10</v>
      </c>
      <c r="E5" s="5">
        <v>9.70185185185E11</v>
      </c>
      <c r="F5" s="5">
        <v>0.0248</v>
      </c>
      <c r="G5" s="3" t="s">
        <v>9</v>
      </c>
    </row>
    <row r="6">
      <c r="A6" s="4" t="s">
        <v>8</v>
      </c>
      <c r="B6" s="5">
        <v>2014.0</v>
      </c>
      <c r="C6" s="5">
        <v>106383.0</v>
      </c>
      <c r="D6" s="5">
        <v>2.6382978723E10</v>
      </c>
      <c r="E6" s="5">
        <v>1.005191489362E12</v>
      </c>
      <c r="F6" s="5">
        <v>0.0262</v>
      </c>
      <c r="G6" s="3" t="s">
        <v>9</v>
      </c>
    </row>
    <row r="7">
      <c r="A7" s="4" t="s">
        <v>8</v>
      </c>
      <c r="B7" s="5">
        <v>2015.0</v>
      </c>
      <c r="C7" s="5">
        <v>75075.0</v>
      </c>
      <c r="D7" s="5">
        <v>2.1921921922E10</v>
      </c>
      <c r="E7" s="5">
        <v>7.83843843844E11</v>
      </c>
      <c r="F7" s="5">
        <v>0.028</v>
      </c>
      <c r="G7" s="3" t="s">
        <v>9</v>
      </c>
    </row>
    <row r="8">
      <c r="A8" s="4" t="s">
        <v>8</v>
      </c>
      <c r="B8" s="5">
        <v>2016.0</v>
      </c>
      <c r="C8" s="5">
        <v>71633.0</v>
      </c>
      <c r="D8" s="5">
        <v>2.3782234957E10</v>
      </c>
      <c r="E8" s="5">
        <v>8.10085959885E11</v>
      </c>
      <c r="F8" s="5">
        <v>0.0294</v>
      </c>
      <c r="G8" s="3" t="s">
        <v>9</v>
      </c>
    </row>
    <row r="9">
      <c r="A9" s="4" t="s">
        <v>8</v>
      </c>
      <c r="B9" s="5">
        <v>2017.0</v>
      </c>
      <c r="C9" s="5">
        <v>78370.0</v>
      </c>
      <c r="D9" s="5">
        <v>2.9153605016E10</v>
      </c>
      <c r="E9" s="5">
        <v>9.36802507837E11</v>
      </c>
      <c r="F9" s="5">
        <v>0.0311</v>
      </c>
      <c r="G9" s="3" t="s">
        <v>9</v>
      </c>
    </row>
    <row r="10">
      <c r="A10" s="4" t="s">
        <v>8</v>
      </c>
      <c r="B10" s="5">
        <v>2018.0</v>
      </c>
      <c r="C10" s="5">
        <v>68493.0</v>
      </c>
      <c r="D10" s="5">
        <v>2.8219178082E10</v>
      </c>
      <c r="E10" s="5">
        <v>8.69698630137E11</v>
      </c>
      <c r="F10" s="5">
        <v>0.0324</v>
      </c>
      <c r="G10" s="3" t="s">
        <v>9</v>
      </c>
    </row>
    <row r="11">
      <c r="A11" s="4" t="s">
        <v>8</v>
      </c>
      <c r="B11" s="5">
        <v>2019.0</v>
      </c>
      <c r="C11" s="5">
        <v>63452.0</v>
      </c>
      <c r="D11" s="5">
        <v>2.8934010152E10</v>
      </c>
      <c r="E11" s="5">
        <v>8.63908629442E11</v>
      </c>
      <c r="F11" s="5">
        <v>0.0335</v>
      </c>
      <c r="G11" s="3" t="s">
        <v>9</v>
      </c>
    </row>
    <row r="12">
      <c r="A12" s="4" t="s">
        <v>8</v>
      </c>
      <c r="B12" s="5">
        <v>2020.0</v>
      </c>
      <c r="C12" s="5">
        <v>46296.0</v>
      </c>
      <c r="D12" s="5">
        <v>2.3148148148E10</v>
      </c>
      <c r="E12" s="5">
        <v>7.11851851852E11</v>
      </c>
      <c r="F12" s="5">
        <v>0.0325</v>
      </c>
      <c r="G12" s="3" t="s">
        <v>9</v>
      </c>
    </row>
    <row r="13">
      <c r="A13" s="4" t="s">
        <v>8</v>
      </c>
      <c r="B13" s="5">
        <v>2021.0</v>
      </c>
      <c r="C13" s="5">
        <v>46296.0</v>
      </c>
      <c r="D13" s="5">
        <v>2.5555555556E10</v>
      </c>
      <c r="E13" s="5">
        <v>7.92222222222E11</v>
      </c>
      <c r="F13" s="5">
        <v>0.0323</v>
      </c>
      <c r="G13" s="3" t="s">
        <v>9</v>
      </c>
    </row>
    <row r="14">
      <c r="A14" s="4" t="s">
        <v>8</v>
      </c>
      <c r="B14" s="5">
        <v>2022.0</v>
      </c>
      <c r="C14" s="5">
        <v>48450.0</v>
      </c>
      <c r="D14" s="5">
        <v>2.8875968992E10</v>
      </c>
      <c r="E14" s="5">
        <v>8.89147286822E11</v>
      </c>
      <c r="F14" s="5">
        <v>0.0325</v>
      </c>
      <c r="G14" s="3" t="s">
        <v>9</v>
      </c>
    </row>
    <row r="15">
      <c r="A15" s="4" t="s">
        <v>8</v>
      </c>
      <c r="B15" s="5">
        <v>2023.0</v>
      </c>
      <c r="C15" s="5">
        <v>50302.0</v>
      </c>
      <c r="D15" s="5">
        <v>3.2394366197E10</v>
      </c>
      <c r="E15" s="5">
        <v>9.85513078471E11</v>
      </c>
      <c r="F15" s="5">
        <v>0.0329</v>
      </c>
      <c r="G15" s="3" t="s">
        <v>9</v>
      </c>
    </row>
    <row r="16">
      <c r="A16" s="4" t="s">
        <v>8</v>
      </c>
      <c r="B16" s="5">
        <v>2024.0</v>
      </c>
      <c r="C16" s="5">
        <v>46296.0</v>
      </c>
      <c r="D16" s="5">
        <v>2.537037037E10</v>
      </c>
      <c r="E16" s="5">
        <v>9.75925925926E11</v>
      </c>
      <c r="F16" s="5">
        <v>0.026</v>
      </c>
      <c r="G16" s="3" t="s">
        <v>9</v>
      </c>
    </row>
    <row r="17">
      <c r="A17" s="4" t="s">
        <v>10</v>
      </c>
      <c r="B17" s="5">
        <v>2010.0</v>
      </c>
      <c r="C17" s="5">
        <v>97100.0</v>
      </c>
      <c r="D17" s="5">
        <v>2.1362E9</v>
      </c>
      <c r="E17" s="5">
        <v>5.51528E11</v>
      </c>
      <c r="F17" s="5">
        <v>0.0039</v>
      </c>
      <c r="G17" s="3" t="s">
        <v>9</v>
      </c>
    </row>
    <row r="18">
      <c r="A18" s="4" t="s">
        <v>10</v>
      </c>
      <c r="B18" s="5">
        <v>2011.0</v>
      </c>
      <c r="C18" s="5">
        <v>101200.0</v>
      </c>
      <c r="D18" s="5">
        <v>2.53E9</v>
      </c>
      <c r="E18" s="5">
        <v>5.9708E11</v>
      </c>
      <c r="F18" s="5">
        <v>0.0042</v>
      </c>
      <c r="G18" s="3" t="s">
        <v>9</v>
      </c>
    </row>
    <row r="19">
      <c r="A19" s="4" t="s">
        <v>10</v>
      </c>
      <c r="B19" s="5">
        <v>2012.0</v>
      </c>
      <c r="C19" s="5">
        <v>100100.0</v>
      </c>
      <c r="D19" s="5">
        <v>2.8028E9</v>
      </c>
      <c r="E19" s="5">
        <v>6.13613E11</v>
      </c>
      <c r="F19" s="5">
        <v>0.0046</v>
      </c>
      <c r="G19" s="3" t="s">
        <v>9</v>
      </c>
    </row>
    <row r="20">
      <c r="A20" s="4" t="s">
        <v>10</v>
      </c>
      <c r="B20" s="5">
        <v>2013.0</v>
      </c>
      <c r="C20" s="5">
        <v>97100.0</v>
      </c>
      <c r="D20" s="5">
        <v>3.0101E9</v>
      </c>
      <c r="E20" s="5">
        <v>6.19498E11</v>
      </c>
      <c r="F20" s="5">
        <v>0.0049</v>
      </c>
      <c r="G20" s="3" t="s">
        <v>9</v>
      </c>
    </row>
    <row r="21">
      <c r="A21" s="4" t="s">
        <v>10</v>
      </c>
      <c r="B21" s="5">
        <v>2014.0</v>
      </c>
      <c r="C21" s="5">
        <v>90600.0</v>
      </c>
      <c r="D21" s="5">
        <v>3.0804E9</v>
      </c>
      <c r="E21" s="5">
        <v>6.0249E11</v>
      </c>
      <c r="F21" s="5">
        <v>0.0051</v>
      </c>
      <c r="G21" s="3" t="s">
        <v>9</v>
      </c>
    </row>
    <row r="22">
      <c r="A22" s="4" t="s">
        <v>10</v>
      </c>
      <c r="B22" s="5">
        <v>2015.0</v>
      </c>
      <c r="C22" s="5">
        <v>78300.0</v>
      </c>
      <c r="D22" s="5">
        <v>2.8971E9</v>
      </c>
      <c r="E22" s="5">
        <v>5.42619E11</v>
      </c>
      <c r="F22" s="5">
        <v>0.0053</v>
      </c>
      <c r="G22" s="3" t="s">
        <v>9</v>
      </c>
    </row>
    <row r="23">
      <c r="A23" s="4" t="s">
        <v>10</v>
      </c>
      <c r="B23" s="5">
        <v>2016.0</v>
      </c>
      <c r="C23" s="5">
        <v>75500.0</v>
      </c>
      <c r="D23" s="5">
        <v>2.98225E9</v>
      </c>
      <c r="E23" s="5">
        <v>5.53415E11</v>
      </c>
      <c r="F23" s="5">
        <v>0.0054</v>
      </c>
      <c r="G23" s="3" t="s">
        <v>9</v>
      </c>
    </row>
    <row r="24">
      <c r="A24" s="4" t="s">
        <v>10</v>
      </c>
      <c r="B24" s="5">
        <v>2017.0</v>
      </c>
      <c r="C24" s="5">
        <v>80000.0</v>
      </c>
      <c r="D24" s="5">
        <v>3.36E9</v>
      </c>
      <c r="E24" s="5">
        <v>6.192E11</v>
      </c>
      <c r="F24" s="5">
        <v>0.0054</v>
      </c>
      <c r="G24" s="3" t="s">
        <v>9</v>
      </c>
    </row>
    <row r="25">
      <c r="A25" s="4" t="s">
        <v>10</v>
      </c>
      <c r="B25" s="5">
        <v>2018.0</v>
      </c>
      <c r="C25" s="5">
        <v>77200.0</v>
      </c>
      <c r="D25" s="5">
        <v>3.667E9</v>
      </c>
      <c r="E25" s="5">
        <v>6.4076E11</v>
      </c>
      <c r="F25" s="5">
        <v>0.0057</v>
      </c>
      <c r="G25" s="3" t="str">
        <f>VLOOKUP(A25, 'IADI Scatter'!$A$1:$D$15, 2, FALSE)</f>
        <v>Americas</v>
      </c>
    </row>
    <row r="26">
      <c r="A26" s="4" t="s">
        <v>10</v>
      </c>
      <c r="B26" s="5">
        <v>2019.0</v>
      </c>
      <c r="C26" s="5">
        <v>75400.0</v>
      </c>
      <c r="D26" s="5">
        <v>4.0339E9</v>
      </c>
      <c r="E26" s="5">
        <v>6.69552E11</v>
      </c>
      <c r="F26" s="5">
        <v>0.006</v>
      </c>
      <c r="G26" s="3" t="str">
        <f>VLOOKUP(A26, 'IADI Scatter'!$A$1:$D$15, 2, FALSE)</f>
        <v>Americas</v>
      </c>
    </row>
    <row r="27">
      <c r="A27" s="4" t="s">
        <v>10</v>
      </c>
      <c r="B27" s="5">
        <v>2020.0</v>
      </c>
      <c r="C27" s="5">
        <v>74600.0</v>
      </c>
      <c r="D27" s="5">
        <v>4.476E9</v>
      </c>
      <c r="E27" s="5">
        <v>7.2362E11</v>
      </c>
      <c r="F27" s="5">
        <v>0.0062</v>
      </c>
      <c r="G27" s="3" t="str">
        <f>VLOOKUP(A27, 'IADI Scatter'!$A$1:$D$15, 2, FALSE)</f>
        <v>Americas</v>
      </c>
    </row>
    <row r="28">
      <c r="A28" s="4" t="s">
        <v>10</v>
      </c>
      <c r="B28" s="5">
        <v>2021.0</v>
      </c>
      <c r="C28" s="5">
        <v>79800.0</v>
      </c>
      <c r="D28" s="5">
        <v>5.4264E9</v>
      </c>
      <c r="E28" s="5">
        <v>8.4588E11</v>
      </c>
      <c r="F28" s="5">
        <v>0.0064</v>
      </c>
      <c r="G28" s="3" t="str">
        <f>VLOOKUP(A28, 'IADI Scatter'!$A$1:$D$15, 2, FALSE)</f>
        <v>Americas</v>
      </c>
    </row>
    <row r="29">
      <c r="A29" s="4" t="s">
        <v>10</v>
      </c>
      <c r="B29" s="5">
        <v>2022.0</v>
      </c>
      <c r="C29" s="5">
        <v>76900.0</v>
      </c>
      <c r="D29" s="5">
        <v>5.8444E9</v>
      </c>
      <c r="E29" s="5">
        <v>8.6897E11</v>
      </c>
      <c r="F29" s="5">
        <v>0.0067</v>
      </c>
      <c r="G29" s="3" t="str">
        <f>VLOOKUP(A29, 'IADI Scatter'!$A$1:$D$15, 2, FALSE)</f>
        <v>Americas</v>
      </c>
    </row>
    <row r="30">
      <c r="A30" s="4" t="s">
        <v>10</v>
      </c>
      <c r="B30" s="5">
        <v>2023.0</v>
      </c>
      <c r="C30" s="5">
        <v>74100.0</v>
      </c>
      <c r="D30" s="5">
        <v>6.1503E9</v>
      </c>
      <c r="E30" s="5">
        <v>8.8179E11</v>
      </c>
      <c r="F30" s="5">
        <v>0.007</v>
      </c>
      <c r="G30" s="3" t="str">
        <f>VLOOKUP(A30, 'IADI Scatter'!$A$1:$D$15, 2, FALSE)</f>
        <v>Americas</v>
      </c>
    </row>
    <row r="31">
      <c r="A31" s="4" t="s">
        <v>10</v>
      </c>
      <c r="B31" s="5">
        <v>2024.0</v>
      </c>
      <c r="C31" s="5">
        <v>73300.0</v>
      </c>
      <c r="D31" s="5">
        <v>6.6703E9</v>
      </c>
      <c r="E31" s="5">
        <v>9.09653E11</v>
      </c>
      <c r="F31" s="5">
        <v>0.0073</v>
      </c>
      <c r="G31" s="3" t="str">
        <f>VLOOKUP(A31, 'IADI Scatter'!$A$1:$D$15, 2, FALSE)</f>
        <v>Americas</v>
      </c>
    </row>
    <row r="32">
      <c r="A32" s="4" t="s">
        <v>11</v>
      </c>
      <c r="B32" s="5">
        <v>2010.0</v>
      </c>
      <c r="C32" s="5">
        <v>2188.0</v>
      </c>
      <c r="D32" s="5">
        <v>4.376367615E9</v>
      </c>
      <c r="E32" s="5">
        <v>2.07877461707E11</v>
      </c>
      <c r="F32" s="5">
        <v>0.0211</v>
      </c>
      <c r="G32" s="3" t="str">
        <f>VLOOKUP(A32, 'IADI Scatter'!$A$1:$D$15, 2, FALSE)</f>
        <v>Asia</v>
      </c>
    </row>
    <row r="33">
      <c r="A33" s="4" t="s">
        <v>11</v>
      </c>
      <c r="B33" s="5">
        <v>2011.0</v>
      </c>
      <c r="C33" s="5">
        <v>2141.0</v>
      </c>
      <c r="D33" s="5">
        <v>5.139186296E9</v>
      </c>
      <c r="E33" s="5">
        <v>2.4625267666E11</v>
      </c>
      <c r="F33" s="5">
        <v>0.0209</v>
      </c>
      <c r="G33" s="3" t="str">
        <f>VLOOKUP(A33, 'IADI Scatter'!$A$1:$D$15, 2, FALSE)</f>
        <v>Asia</v>
      </c>
    </row>
    <row r="34">
      <c r="A34" s="4" t="s">
        <v>11</v>
      </c>
      <c r="B34" s="5">
        <v>2012.0</v>
      </c>
      <c r="C34" s="5">
        <v>1873.0</v>
      </c>
      <c r="D34" s="5">
        <v>5.243445693E9</v>
      </c>
      <c r="E34" s="5">
        <v>2.58426966292E11</v>
      </c>
      <c r="F34" s="5">
        <v>0.0203</v>
      </c>
      <c r="G34" s="3" t="str">
        <f>VLOOKUP(A34, 'IADI Scatter'!$A$1:$D$15, 2, FALSE)</f>
        <v>Asia</v>
      </c>
    </row>
    <row r="35">
      <c r="A35" s="4" t="s">
        <v>11</v>
      </c>
      <c r="B35" s="5">
        <v>2013.0</v>
      </c>
      <c r="C35" s="5">
        <v>1664.0</v>
      </c>
      <c r="D35" s="5">
        <v>5.490848586E9</v>
      </c>
      <c r="E35" s="5">
        <v>2.74542429285E11</v>
      </c>
      <c r="F35" s="5">
        <v>0.02</v>
      </c>
      <c r="G35" s="3" t="str">
        <f>VLOOKUP(A35, 'IADI Scatter'!$A$1:$D$15, 2, FALSE)</f>
        <v>Asia</v>
      </c>
    </row>
    <row r="36">
      <c r="A36" s="4" t="s">
        <v>11</v>
      </c>
      <c r="B36" s="5">
        <v>2014.0</v>
      </c>
      <c r="C36" s="5">
        <v>1613.0</v>
      </c>
      <c r="D36" s="5">
        <v>6.290322581E9</v>
      </c>
      <c r="E36" s="5">
        <v>3.14516129032E11</v>
      </c>
      <c r="F36" s="5">
        <v>0.02</v>
      </c>
      <c r="G36" s="3" t="str">
        <f>VLOOKUP(A36, 'IADI Scatter'!$A$1:$D$15, 2, FALSE)</f>
        <v>Asia</v>
      </c>
    </row>
    <row r="37">
      <c r="A37" s="4" t="s">
        <v>11</v>
      </c>
      <c r="B37" s="5">
        <v>2015.0</v>
      </c>
      <c r="C37" s="5">
        <v>1558.0</v>
      </c>
      <c r="D37" s="5">
        <v>7.165109034E9</v>
      </c>
      <c r="E37" s="5">
        <v>3.5046728972E11</v>
      </c>
      <c r="F37" s="5">
        <v>0.0204</v>
      </c>
      <c r="G37" s="3" t="str">
        <f>VLOOKUP(A37, 'IADI Scatter'!$A$1:$D$15, 2, FALSE)</f>
        <v>Asia</v>
      </c>
    </row>
    <row r="38">
      <c r="A38" s="4" t="s">
        <v>11</v>
      </c>
      <c r="B38" s="5">
        <v>2016.0</v>
      </c>
      <c r="C38" s="5">
        <v>1504.0</v>
      </c>
      <c r="D38" s="5">
        <v>8.120300752E9</v>
      </c>
      <c r="E38" s="5">
        <v>3.83458646617E11</v>
      </c>
      <c r="F38" s="5">
        <v>0.0212</v>
      </c>
      <c r="G38" s="3" t="str">
        <f>VLOOKUP(A38, 'IADI Scatter'!$A$1:$D$15, 2, FALSE)</f>
        <v>Asia</v>
      </c>
    </row>
    <row r="39">
      <c r="A39" s="4" t="s">
        <v>11</v>
      </c>
      <c r="B39" s="5">
        <v>2017.0</v>
      </c>
      <c r="C39" s="5">
        <v>1536.0</v>
      </c>
      <c r="D39" s="5">
        <v>9.831029186E9</v>
      </c>
      <c r="E39" s="5">
        <v>4.45468509985E11</v>
      </c>
      <c r="F39" s="5">
        <v>0.0221</v>
      </c>
      <c r="G39" s="3" t="str">
        <f>VLOOKUP(A39, 'IADI Scatter'!$A$1:$D$15, 2, FALSE)</f>
        <v>Asia</v>
      </c>
    </row>
    <row r="40">
      <c r="A40" s="4" t="s">
        <v>11</v>
      </c>
      <c r="B40" s="5">
        <v>2018.0</v>
      </c>
      <c r="C40" s="5">
        <v>1475.0</v>
      </c>
      <c r="D40" s="5">
        <v>1.1209439528E10</v>
      </c>
      <c r="E40" s="5">
        <v>4.86725663717E11</v>
      </c>
      <c r="F40" s="5">
        <v>0.023</v>
      </c>
      <c r="G40" s="3" t="str">
        <f>VLOOKUP(A40, 'IADI Scatter'!$A$1:$D$15, 2, FALSE)</f>
        <v>Asia</v>
      </c>
    </row>
    <row r="41">
      <c r="A41" s="4" t="s">
        <v>11</v>
      </c>
      <c r="B41" s="5">
        <v>2019.0</v>
      </c>
      <c r="C41" s="5">
        <v>1429.0</v>
      </c>
      <c r="D41" s="5">
        <v>1.2714285714E10</v>
      </c>
      <c r="E41" s="5">
        <v>5.35714285714E11</v>
      </c>
      <c r="F41" s="5">
        <v>0.0237</v>
      </c>
      <c r="G41" s="3" t="str">
        <f>VLOOKUP(A41, 'IADI Scatter'!$A$1:$D$15, 2, FALSE)</f>
        <v>Asia</v>
      </c>
    </row>
    <row r="42">
      <c r="A42" s="4" t="s">
        <v>11</v>
      </c>
      <c r="B42" s="5">
        <v>2020.0</v>
      </c>
      <c r="C42" s="5">
        <v>6748.0</v>
      </c>
      <c r="D42" s="5">
        <v>1.4170040486E10</v>
      </c>
      <c r="E42" s="5">
        <v>8.77192982456E11</v>
      </c>
      <c r="F42" s="5">
        <v>0.0162</v>
      </c>
      <c r="G42" s="3" t="str">
        <f>VLOOKUP(A42, 'IADI Scatter'!$A$1:$D$15, 2, FALSE)</f>
        <v>Asia</v>
      </c>
    </row>
    <row r="43">
      <c r="A43" s="4" t="s">
        <v>11</v>
      </c>
      <c r="B43" s="5">
        <v>2021.0</v>
      </c>
      <c r="C43" s="5">
        <v>6702.0</v>
      </c>
      <c r="D43" s="5">
        <v>1.6756032172E10</v>
      </c>
      <c r="E43" s="5">
        <v>1.005361930295E12</v>
      </c>
      <c r="F43" s="5">
        <v>0.0167</v>
      </c>
      <c r="G43" s="3" t="str">
        <f>VLOOKUP(A43, 'IADI Scatter'!$A$1:$D$15, 2, FALSE)</f>
        <v>Asia</v>
      </c>
    </row>
    <row r="44">
      <c r="A44" s="4" t="s">
        <v>11</v>
      </c>
      <c r="B44" s="5">
        <v>2022.0</v>
      </c>
      <c r="C44" s="5">
        <v>6258.0</v>
      </c>
      <c r="D44" s="5">
        <v>1.8773466834E10</v>
      </c>
      <c r="E44" s="5">
        <v>1.026282853567E12</v>
      </c>
      <c r="F44" s="5">
        <v>0.0183</v>
      </c>
      <c r="G44" s="3" t="str">
        <f>VLOOKUP(A44, 'IADI Scatter'!$A$1:$D$15, 2, FALSE)</f>
        <v>Asia</v>
      </c>
    </row>
    <row r="45">
      <c r="A45" s="4" t="s">
        <v>11</v>
      </c>
      <c r="B45" s="5">
        <v>2023.0</v>
      </c>
      <c r="C45" s="5">
        <v>5981.0</v>
      </c>
      <c r="D45" s="5">
        <v>2.0933014354E10</v>
      </c>
      <c r="E45" s="5">
        <v>1.052631578947E12</v>
      </c>
      <c r="F45" s="5">
        <v>0.0199</v>
      </c>
      <c r="G45" s="3" t="str">
        <f>VLOOKUP(A45, 'IADI Scatter'!$A$1:$D$15, 2, FALSE)</f>
        <v>Asia</v>
      </c>
    </row>
    <row r="46">
      <c r="A46" s="4" t="s">
        <v>11</v>
      </c>
      <c r="B46" s="5">
        <v>2024.0</v>
      </c>
      <c r="C46" s="5">
        <v>5974.0</v>
      </c>
      <c r="D46" s="5">
        <v>2.3655913978E10</v>
      </c>
      <c r="E46" s="5">
        <v>1.123058542413E12</v>
      </c>
      <c r="F46" s="5">
        <v>0.0211</v>
      </c>
      <c r="G46" s="3" t="str">
        <f>VLOOKUP(A46, 'IADI Scatter'!$A$1:$D$15, 2, FALSE)</f>
        <v>Asia</v>
      </c>
    </row>
    <row r="47">
      <c r="A47" s="4" t="s">
        <v>12</v>
      </c>
      <c r="B47" s="5">
        <v>2010.0</v>
      </c>
      <c r="C47" s="5">
        <v>220022.0</v>
      </c>
      <c r="D47" s="5">
        <v>3.410341034E9</v>
      </c>
      <c r="E47" s="5">
        <v>1.55891089109E11</v>
      </c>
      <c r="F47" s="5">
        <v>0.0219</v>
      </c>
      <c r="G47" s="3" t="str">
        <f>VLOOKUP(A47, 'IADI Scatter'!$A$1:$D$15, 2, FALSE)</f>
        <v>Asia</v>
      </c>
    </row>
    <row r="48">
      <c r="A48" s="4" t="s">
        <v>12</v>
      </c>
      <c r="B48" s="5">
        <v>2011.0</v>
      </c>
      <c r="C48" s="5">
        <v>228050.0</v>
      </c>
      <c r="D48" s="5">
        <v>4.446978335E9</v>
      </c>
      <c r="E48" s="5">
        <v>1.8382668187E11</v>
      </c>
      <c r="F48" s="5">
        <v>0.0242</v>
      </c>
      <c r="G48" s="3" t="str">
        <f>VLOOKUP(A48, 'IADI Scatter'!$A$1:$D$15, 2, FALSE)</f>
        <v>Asia</v>
      </c>
    </row>
    <row r="49">
      <c r="A49" s="4" t="s">
        <v>12</v>
      </c>
      <c r="B49" s="5">
        <v>2012.0</v>
      </c>
      <c r="C49" s="5">
        <v>213061.0</v>
      </c>
      <c r="D49" s="5">
        <v>5.113454778E9</v>
      </c>
      <c r="E49" s="5">
        <v>1.8474379461E11</v>
      </c>
      <c r="F49" s="5">
        <v>0.0277</v>
      </c>
      <c r="G49" s="3" t="str">
        <f>VLOOKUP(A49, 'IADI Scatter'!$A$1:$D$15, 2, FALSE)</f>
        <v>Asia</v>
      </c>
    </row>
    <row r="50">
      <c r="A50" s="4" t="s">
        <v>12</v>
      </c>
      <c r="B50" s="5">
        <v>2013.0</v>
      </c>
      <c r="C50" s="5">
        <v>168563.0</v>
      </c>
      <c r="D50" s="5">
        <v>4.972608512E9</v>
      </c>
      <c r="E50" s="5">
        <v>1.64208175306E11</v>
      </c>
      <c r="F50" s="5">
        <v>0.0303</v>
      </c>
      <c r="G50" s="3" t="str">
        <f>VLOOKUP(A50, 'IADI Scatter'!$A$1:$D$15, 2, FALSE)</f>
        <v>Asia</v>
      </c>
    </row>
    <row r="51">
      <c r="A51" s="4" t="s">
        <v>12</v>
      </c>
      <c r="B51" s="5">
        <v>2014.0</v>
      </c>
      <c r="C51" s="5">
        <v>160772.0</v>
      </c>
      <c r="D51" s="5">
        <v>5.627009646E9</v>
      </c>
      <c r="E51" s="5">
        <v>1.66109324759E11</v>
      </c>
      <c r="F51" s="5">
        <v>0.0339</v>
      </c>
      <c r="G51" s="3" t="str">
        <f>VLOOKUP(A51, 'IADI Scatter'!$A$1:$D$15, 2, FALSE)</f>
        <v>Asia</v>
      </c>
    </row>
    <row r="52">
      <c r="A52" s="4" t="s">
        <v>12</v>
      </c>
      <c r="B52" s="5">
        <v>2015.0</v>
      </c>
      <c r="C52" s="5">
        <v>144980.0</v>
      </c>
      <c r="D52" s="5">
        <v>5.944182675E9</v>
      </c>
      <c r="E52" s="5">
        <v>1.52807538963E11</v>
      </c>
      <c r="F52" s="5">
        <v>0.0389</v>
      </c>
      <c r="G52" s="3" t="str">
        <f>VLOOKUP(A52, 'IADI Scatter'!$A$1:$D$15, 2, FALSE)</f>
        <v>Asia</v>
      </c>
    </row>
    <row r="53">
      <c r="A53" s="4" t="s">
        <v>12</v>
      </c>
      <c r="B53" s="5">
        <v>2016.0</v>
      </c>
      <c r="C53" s="5">
        <v>148854.0</v>
      </c>
      <c r="D53" s="5">
        <v>7.070556713E9</v>
      </c>
      <c r="E53" s="5">
        <v>1.71860672819E11</v>
      </c>
      <c r="F53" s="5">
        <v>0.0411</v>
      </c>
      <c r="G53" s="3" t="str">
        <f>VLOOKUP(A53, 'IADI Scatter'!$A$1:$D$15, 2, FALSE)</f>
        <v>Asia</v>
      </c>
    </row>
    <row r="54">
      <c r="A54" s="4" t="s">
        <v>12</v>
      </c>
      <c r="B54" s="5">
        <v>2017.0</v>
      </c>
      <c r="C54" s="5">
        <v>147623.0</v>
      </c>
      <c r="D54" s="5">
        <v>8.119279598E9</v>
      </c>
      <c r="E54" s="5">
        <v>1.84572630647E11</v>
      </c>
      <c r="F54" s="5">
        <v>0.044</v>
      </c>
      <c r="G54" s="3" t="str">
        <f>VLOOKUP(A54, 'IADI Scatter'!$A$1:$D$15, 2, FALSE)</f>
        <v>Asia</v>
      </c>
    </row>
    <row r="55">
      <c r="A55" s="4" t="s">
        <v>12</v>
      </c>
      <c r="B55" s="5">
        <v>2018.0</v>
      </c>
      <c r="C55" s="5">
        <v>140479.0</v>
      </c>
      <c r="D55" s="5">
        <v>8.850179111E9</v>
      </c>
      <c r="E55" s="5">
        <v>1.80768420313E11</v>
      </c>
      <c r="F55" s="5">
        <v>0.049</v>
      </c>
      <c r="G55" s="3" t="str">
        <f>VLOOKUP(A55, 'IADI Scatter'!$A$1:$D$15, 2, FALSE)</f>
        <v>Asia</v>
      </c>
    </row>
    <row r="56">
      <c r="A56" s="4" t="s">
        <v>12</v>
      </c>
      <c r="B56" s="5">
        <v>2019.0</v>
      </c>
      <c r="C56" s="5">
        <v>143875.0</v>
      </c>
      <c r="D56" s="5">
        <v>1.028702971E10</v>
      </c>
      <c r="E56" s="5">
        <v>1.94575929789E11</v>
      </c>
      <c r="F56" s="5">
        <v>0.0529</v>
      </c>
      <c r="G56" s="3" t="str">
        <f>VLOOKUP(A56, 'IADI Scatter'!$A$1:$D$15, 2, FALSE)</f>
        <v>Asia</v>
      </c>
    </row>
    <row r="57">
      <c r="A57" s="4" t="s">
        <v>12</v>
      </c>
      <c r="B57" s="5">
        <v>2020.0</v>
      </c>
      <c r="C57" s="5">
        <v>141794.0</v>
      </c>
      <c r="D57" s="5">
        <v>1.1485288905E10</v>
      </c>
      <c r="E57" s="5">
        <v>2.10932293513E11</v>
      </c>
      <c r="F57" s="5">
        <v>0.0545</v>
      </c>
      <c r="G57" s="3" t="str">
        <f>VLOOKUP(A57, 'IADI Scatter'!$A$1:$D$15, 2, FALSE)</f>
        <v>Asia</v>
      </c>
    </row>
    <row r="58">
      <c r="A58" s="4" t="s">
        <v>12</v>
      </c>
      <c r="B58" s="5">
        <v>2021.0</v>
      </c>
      <c r="C58" s="5">
        <v>140164.0</v>
      </c>
      <c r="D58" s="5">
        <v>1.275492326E10</v>
      </c>
      <c r="E58" s="5">
        <v>2.19393790735E11</v>
      </c>
      <c r="F58" s="5">
        <v>0.0581</v>
      </c>
      <c r="G58" s="3" t="str">
        <f>VLOOKUP(A58, 'IADI Scatter'!$A$1:$D$15, 2, FALSE)</f>
        <v>Asia</v>
      </c>
    </row>
    <row r="59">
      <c r="A59" s="4" t="s">
        <v>12</v>
      </c>
      <c r="B59" s="5">
        <v>2022.0</v>
      </c>
      <c r="C59" s="5">
        <v>127137.0</v>
      </c>
      <c r="D59" s="5">
        <v>1.2904456169E10</v>
      </c>
      <c r="E59" s="5">
        <v>2.0484393872E11</v>
      </c>
      <c r="F59" s="5">
        <v>0.063</v>
      </c>
      <c r="G59" s="3" t="str">
        <f>VLOOKUP(A59, 'IADI Scatter'!$A$1:$D$15, 2, FALSE)</f>
        <v>Asia</v>
      </c>
    </row>
    <row r="60">
      <c r="A60" s="4" t="s">
        <v>12</v>
      </c>
      <c r="B60" s="5">
        <v>2023.0</v>
      </c>
      <c r="C60" s="5">
        <v>127405.0</v>
      </c>
      <c r="D60" s="5">
        <v>1.4269333673E10</v>
      </c>
      <c r="E60" s="5">
        <v>2.11681105873E11</v>
      </c>
      <c r="F60" s="5">
        <v>0.0674</v>
      </c>
      <c r="G60" s="3" t="str">
        <f>VLOOKUP(A60, 'IADI Scatter'!$A$1:$D$15, 2, FALSE)</f>
        <v>Asia</v>
      </c>
    </row>
    <row r="61">
      <c r="A61" s="4" t="s">
        <v>12</v>
      </c>
      <c r="B61" s="5">
        <v>2024.0</v>
      </c>
      <c r="C61" s="5">
        <v>124224.0</v>
      </c>
      <c r="D61" s="5">
        <v>1.5403726708E10</v>
      </c>
      <c r="E61" s="5">
        <v>2.12422360248E11</v>
      </c>
      <c r="F61" s="5">
        <v>0.0725</v>
      </c>
      <c r="G61" s="3" t="str">
        <f>VLOOKUP(A61, 'IADI Scatter'!$A$1:$D$15, 2, FALSE)</f>
        <v>Asia</v>
      </c>
    </row>
    <row r="62">
      <c r="A62" s="4" t="s">
        <v>29</v>
      </c>
      <c r="B62" s="5">
        <v>2010.0</v>
      </c>
      <c r="C62" s="5">
        <v>113895.0</v>
      </c>
      <c r="D62" s="5">
        <v>1.560364465E9</v>
      </c>
      <c r="E62" s="5">
        <v>7.403189066059E12</v>
      </c>
      <c r="F62" s="5">
        <v>2.0E-4</v>
      </c>
      <c r="G62" s="3" t="str">
        <f>VLOOKUP(A62, 'IADI Scatter'!$A$1:$D$15, 2, FALSE)</f>
        <v>Asia</v>
      </c>
    </row>
    <row r="63">
      <c r="A63" s="4" t="s">
        <v>29</v>
      </c>
      <c r="B63" s="5">
        <v>2011.0</v>
      </c>
      <c r="C63" s="5">
        <v>125471.0</v>
      </c>
      <c r="D63" s="5">
        <v>5.018820577E9</v>
      </c>
      <c r="E63" s="5">
        <v>8.281053952321E12</v>
      </c>
      <c r="F63" s="5">
        <v>6.0E-4</v>
      </c>
      <c r="G63" s="3" t="str">
        <f>VLOOKUP(A63, 'IADI Scatter'!$A$1:$D$15, 2, FALSE)</f>
        <v>Asia</v>
      </c>
    </row>
    <row r="64">
      <c r="A64" s="4" t="s">
        <v>29</v>
      </c>
      <c r="B64" s="5">
        <v>2012.0</v>
      </c>
      <c r="C64" s="5">
        <v>125313.0</v>
      </c>
      <c r="D64" s="5">
        <v>9.147869674E9</v>
      </c>
      <c r="E64" s="5">
        <v>8.458646616541E12</v>
      </c>
      <c r="F64" s="5">
        <v>0.0011</v>
      </c>
      <c r="G64" s="3" t="str">
        <f>VLOOKUP(A64, 'IADI Scatter'!$A$1:$D$15, 2, FALSE)</f>
        <v>Asia</v>
      </c>
    </row>
    <row r="65">
      <c r="A65" s="4" t="s">
        <v>29</v>
      </c>
      <c r="B65" s="5">
        <v>2013.0</v>
      </c>
      <c r="C65" s="5">
        <v>102459.0</v>
      </c>
      <c r="D65" s="5">
        <v>1.1270491803E10</v>
      </c>
      <c r="E65" s="5">
        <v>7.069672131148E12</v>
      </c>
      <c r="F65" s="5">
        <v>0.0016</v>
      </c>
      <c r="G65" s="3" t="str">
        <f>VLOOKUP(A65, 'IADI Scatter'!$A$1:$D$15, 2, FALSE)</f>
        <v>Asia</v>
      </c>
    </row>
    <row r="66">
      <c r="A66" s="4" t="s">
        <v>29</v>
      </c>
      <c r="B66" s="5">
        <v>2014.0</v>
      </c>
      <c r="C66" s="5">
        <v>94607.0</v>
      </c>
      <c r="D66" s="5">
        <v>1.4664143803E10</v>
      </c>
      <c r="E66" s="5">
        <v>6.669820245979E12</v>
      </c>
      <c r="F66" s="5">
        <v>0.0022</v>
      </c>
      <c r="G66" s="3" t="str">
        <f>VLOOKUP(A66, 'IADI Scatter'!$A$1:$D$15, 2, FALSE)</f>
        <v>Asia</v>
      </c>
    </row>
    <row r="67">
      <c r="A67" s="4" t="s">
        <v>29</v>
      </c>
      <c r="B67" s="5">
        <v>2015.0</v>
      </c>
      <c r="C67" s="5">
        <v>82645.0</v>
      </c>
      <c r="D67" s="5">
        <v>1.652892562E10</v>
      </c>
      <c r="E67" s="5">
        <v>5.909090909091E12</v>
      </c>
      <c r="F67" s="5">
        <v>0.0028</v>
      </c>
      <c r="G67" s="3" t="str">
        <f>VLOOKUP(A67, 'IADI Scatter'!$A$1:$D$15, 2, FALSE)</f>
        <v>Asia</v>
      </c>
    </row>
    <row r="68">
      <c r="A68" s="4" t="s">
        <v>29</v>
      </c>
      <c r="B68" s="5">
        <v>2016.0</v>
      </c>
      <c r="C68" s="5">
        <v>91912.0</v>
      </c>
      <c r="D68" s="5">
        <v>2.2058823529E10</v>
      </c>
      <c r="E68" s="5">
        <v>6.709558823529E12</v>
      </c>
      <c r="F68" s="5">
        <v>0.0033</v>
      </c>
      <c r="G68" s="3" t="str">
        <f>VLOOKUP(A68, 'IADI Scatter'!$A$1:$D$15, 2, FALSE)</f>
        <v>Asia</v>
      </c>
    </row>
    <row r="69">
      <c r="A69" s="4" t="s">
        <v>29</v>
      </c>
      <c r="B69" s="5">
        <v>2017.0</v>
      </c>
      <c r="C69" s="5">
        <v>89127.0</v>
      </c>
      <c r="D69" s="5">
        <v>2.495543672E10</v>
      </c>
      <c r="E69" s="5">
        <v>6.639928698752E12</v>
      </c>
      <c r="F69" s="5">
        <v>0.0038</v>
      </c>
      <c r="G69" s="3" t="str">
        <f>VLOOKUP(A69, 'IADI Scatter'!$A$1:$D$15, 2, FALSE)</f>
        <v>Asia</v>
      </c>
    </row>
    <row r="70">
      <c r="A70" s="4" t="s">
        <v>29</v>
      </c>
      <c r="B70" s="5">
        <v>2018.0</v>
      </c>
      <c r="C70" s="5">
        <v>90580.0</v>
      </c>
      <c r="D70" s="5">
        <v>2.8985507246E10</v>
      </c>
      <c r="E70" s="5">
        <v>6.884057971014E12</v>
      </c>
      <c r="F70" s="5">
        <v>0.0042</v>
      </c>
      <c r="G70" s="3" t="str">
        <f>VLOOKUP(A70, 'IADI Scatter'!$A$1:$D$15, 2, FALSE)</f>
        <v>Asia</v>
      </c>
    </row>
    <row r="71">
      <c r="A71" s="4" t="s">
        <v>29</v>
      </c>
      <c r="B71" s="5">
        <v>2019.0</v>
      </c>
      <c r="C71" s="5">
        <v>91743.0</v>
      </c>
      <c r="D71" s="5">
        <v>3.3027522936E10</v>
      </c>
      <c r="E71" s="5">
        <v>7.110091743119E12</v>
      </c>
      <c r="F71" s="5">
        <v>0.0046</v>
      </c>
      <c r="G71" s="3" t="str">
        <f>VLOOKUP(A71, 'IADI Scatter'!$A$1:$D$15, 2, FALSE)</f>
        <v>Asia</v>
      </c>
    </row>
    <row r="72">
      <c r="A72" s="4" t="s">
        <v>29</v>
      </c>
      <c r="B72" s="5">
        <v>2020.0</v>
      </c>
      <c r="C72" s="5">
        <v>93633.0</v>
      </c>
      <c r="D72" s="5">
        <v>3.7453183521E10</v>
      </c>
      <c r="E72" s="5">
        <v>7.584269662921E12</v>
      </c>
      <c r="F72" s="5">
        <v>0.0049</v>
      </c>
      <c r="G72" s="3" t="str">
        <f>VLOOKUP(A72, 'IADI Scatter'!$A$1:$D$15, 2, FALSE)</f>
        <v>Asia</v>
      </c>
    </row>
    <row r="73">
      <c r="A73" s="4" t="s">
        <v>29</v>
      </c>
      <c r="B73" s="5">
        <v>2021.0</v>
      </c>
      <c r="C73" s="5">
        <v>91075.0</v>
      </c>
      <c r="D73" s="5">
        <v>4.0983606557E10</v>
      </c>
      <c r="E73" s="5">
        <v>7.650273224044E12</v>
      </c>
      <c r="F73" s="5">
        <v>0.0054</v>
      </c>
      <c r="G73" s="3" t="str">
        <f>VLOOKUP(A73, 'IADI Scatter'!$A$1:$D$15, 2, FALSE)</f>
        <v>Asia</v>
      </c>
    </row>
    <row r="74">
      <c r="A74" s="4" t="s">
        <v>29</v>
      </c>
      <c r="B74" s="5">
        <v>2022.0</v>
      </c>
      <c r="C74" s="5">
        <v>76046.0</v>
      </c>
      <c r="D74" s="5">
        <v>3.7262357414E10</v>
      </c>
      <c r="E74" s="5">
        <v>6.501901140684E12</v>
      </c>
      <c r="F74" s="5">
        <v>0.0057</v>
      </c>
      <c r="G74" s="3" t="str">
        <f>VLOOKUP(A74, 'IADI Scatter'!$A$1:$D$15, 2, FALSE)</f>
        <v>Asia</v>
      </c>
    </row>
    <row r="75">
      <c r="A75" s="4" t="s">
        <v>29</v>
      </c>
      <c r="B75" s="5">
        <v>2023.0</v>
      </c>
      <c r="C75" s="5">
        <v>71174.0</v>
      </c>
      <c r="D75" s="5">
        <v>3.7722419929E10</v>
      </c>
      <c r="E75" s="5">
        <v>6.192170818505E12</v>
      </c>
      <c r="F75" s="5">
        <v>0.0061</v>
      </c>
      <c r="G75" s="3" t="str">
        <f>VLOOKUP(A75, 'IADI Scatter'!$A$1:$D$15, 2, FALSE)</f>
        <v>Asia</v>
      </c>
    </row>
    <row r="76">
      <c r="A76" s="4" t="s">
        <v>29</v>
      </c>
      <c r="B76" s="5">
        <v>2024.0</v>
      </c>
      <c r="C76" s="5">
        <v>65876.0</v>
      </c>
      <c r="D76" s="5">
        <v>3.7549407115E10</v>
      </c>
      <c r="E76" s="5">
        <v>5.830039525692E12</v>
      </c>
      <c r="F76" s="5">
        <v>0.0064</v>
      </c>
      <c r="G76" s="3" t="str">
        <f>VLOOKUP(A76, 'IADI Scatter'!$A$1:$D$15, 2, FALSE)</f>
        <v>Asia</v>
      </c>
    </row>
    <row r="77">
      <c r="A77" s="4" t="s">
        <v>26</v>
      </c>
      <c r="B77" s="5">
        <v>2010.0</v>
      </c>
      <c r="C77" s="5">
        <v>18634.0</v>
      </c>
      <c r="D77" s="5">
        <v>1.242236025E9</v>
      </c>
      <c r="E77" s="5">
        <v>6.0248447205E10</v>
      </c>
      <c r="F77" s="5">
        <v>0.0206</v>
      </c>
      <c r="G77" s="3" t="str">
        <f>VLOOKUP(A77, 'IADI Scatter'!$A$1:$D$15, 2, FALSE)</f>
        <v>Asia</v>
      </c>
    </row>
    <row r="78">
      <c r="A78" s="4" t="s">
        <v>26</v>
      </c>
      <c r="B78" s="5">
        <v>2011.0</v>
      </c>
      <c r="C78" s="5">
        <v>81699.0</v>
      </c>
      <c r="D78" s="5">
        <v>1.797385621E9</v>
      </c>
      <c r="E78" s="5">
        <v>2.54117647059E11</v>
      </c>
      <c r="F78" s="5">
        <v>0.0071</v>
      </c>
      <c r="G78" s="3" t="str">
        <f>VLOOKUP(A78, 'IADI Scatter'!$A$1:$D$15, 2, FALSE)</f>
        <v>Asia</v>
      </c>
    </row>
    <row r="79">
      <c r="A79" s="4" t="s">
        <v>26</v>
      </c>
      <c r="B79" s="5">
        <v>2012.0</v>
      </c>
      <c r="C79" s="5">
        <v>80906.0</v>
      </c>
      <c r="D79" s="5">
        <v>2.265372168E9</v>
      </c>
      <c r="E79" s="5">
        <v>2.74951456311E11</v>
      </c>
      <c r="F79" s="5">
        <v>0.0082</v>
      </c>
      <c r="G79" s="3" t="str">
        <f>VLOOKUP(A79, 'IADI Scatter'!$A$1:$D$15, 2, FALSE)</f>
        <v>Asia</v>
      </c>
    </row>
    <row r="80">
      <c r="A80" s="4" t="s">
        <v>26</v>
      </c>
      <c r="B80" s="5">
        <v>2013.0</v>
      </c>
      <c r="C80" s="5">
        <v>79365.0</v>
      </c>
      <c r="D80" s="5">
        <v>2.73015873E9</v>
      </c>
      <c r="E80" s="5">
        <v>2.94857142857E11</v>
      </c>
      <c r="F80" s="5">
        <v>0.0093</v>
      </c>
      <c r="G80" s="3" t="str">
        <f>VLOOKUP(A80, 'IADI Scatter'!$A$1:$D$15, 2, FALSE)</f>
        <v>Asia</v>
      </c>
    </row>
    <row r="81">
      <c r="A81" s="4" t="s">
        <v>26</v>
      </c>
      <c r="B81" s="5">
        <v>2014.0</v>
      </c>
      <c r="C81" s="5">
        <v>76453.0</v>
      </c>
      <c r="D81" s="5">
        <v>3.119266055E9</v>
      </c>
      <c r="E81" s="5">
        <v>3.12660550459E11</v>
      </c>
      <c r="F81" s="5">
        <v>0.01</v>
      </c>
      <c r="G81" s="3" t="str">
        <f>VLOOKUP(A81, 'IADI Scatter'!$A$1:$D$15, 2, FALSE)</f>
        <v>Asia</v>
      </c>
    </row>
    <row r="82">
      <c r="A82" s="4" t="s">
        <v>26</v>
      </c>
      <c r="B82" s="5">
        <v>2015.0</v>
      </c>
      <c r="C82" s="5">
        <v>63939.0</v>
      </c>
      <c r="D82" s="5">
        <v>3.017902813E9</v>
      </c>
      <c r="E82" s="5">
        <v>2.8358056266E11</v>
      </c>
      <c r="F82" s="5">
        <v>0.0106</v>
      </c>
      <c r="G82" s="3" t="str">
        <f>VLOOKUP(A82, 'IADI Scatter'!$A$1:$D$15, 2, FALSE)</f>
        <v>Asia</v>
      </c>
    </row>
    <row r="83">
      <c r="A83" s="4" t="s">
        <v>26</v>
      </c>
      <c r="B83" s="5">
        <v>2016.0</v>
      </c>
      <c r="C83" s="5">
        <v>60241.0</v>
      </c>
      <c r="D83" s="5">
        <v>3.228915663E9</v>
      </c>
      <c r="E83" s="5">
        <v>2.84530120482E11</v>
      </c>
      <c r="F83" s="5">
        <v>0.0113</v>
      </c>
      <c r="G83" s="3" t="str">
        <f>VLOOKUP(A83, 'IADI Scatter'!$A$1:$D$15, 2, FALSE)</f>
        <v>Asia</v>
      </c>
    </row>
    <row r="84">
      <c r="A84" s="4" t="s">
        <v>26</v>
      </c>
      <c r="B84" s="5">
        <v>2017.0</v>
      </c>
      <c r="C84" s="5">
        <v>58140.0</v>
      </c>
      <c r="D84" s="5">
        <v>3.511627907E9</v>
      </c>
      <c r="E84" s="5">
        <v>2.91348837209E11</v>
      </c>
      <c r="F84" s="5">
        <v>0.0121</v>
      </c>
      <c r="G84" s="3" t="str">
        <f>VLOOKUP(A84, 'IADI Scatter'!$A$1:$D$15, 2, FALSE)</f>
        <v>Asia</v>
      </c>
    </row>
    <row r="85">
      <c r="A85" s="4" t="s">
        <v>26</v>
      </c>
      <c r="B85" s="5">
        <v>2018.0</v>
      </c>
      <c r="C85" s="5">
        <v>62035.0</v>
      </c>
      <c r="D85" s="5">
        <v>4.168734491E9</v>
      </c>
      <c r="E85" s="5">
        <v>3.30521091811E11</v>
      </c>
      <c r="F85" s="5">
        <v>0.0126</v>
      </c>
      <c r="G85" s="3" t="str">
        <f>VLOOKUP(A85, 'IADI Scatter'!$A$1:$D$15, 2, FALSE)</f>
        <v>Asia</v>
      </c>
    </row>
    <row r="86">
      <c r="A86" s="4" t="s">
        <v>26</v>
      </c>
      <c r="B86" s="5">
        <v>2019.0</v>
      </c>
      <c r="C86" s="5">
        <v>60386.0</v>
      </c>
      <c r="D86" s="5">
        <v>4.468599034E9</v>
      </c>
      <c r="E86" s="5">
        <v>3.40869565217E11</v>
      </c>
      <c r="F86" s="5">
        <v>0.0131</v>
      </c>
      <c r="G86" s="3" t="str">
        <f>VLOOKUP(A86, 'IADI Scatter'!$A$1:$D$15, 2, FALSE)</f>
        <v>Asia</v>
      </c>
    </row>
    <row r="87">
      <c r="A87" s="4" t="s">
        <v>26</v>
      </c>
      <c r="B87" s="5">
        <v>2020.0</v>
      </c>
      <c r="C87" s="5">
        <v>59524.0</v>
      </c>
      <c r="D87" s="5">
        <v>4.857142857E9</v>
      </c>
      <c r="E87" s="5">
        <v>3.65142857143E11</v>
      </c>
      <c r="F87" s="5">
        <v>0.0133</v>
      </c>
      <c r="G87" s="3" t="str">
        <f>VLOOKUP(A87, 'IADI Scatter'!$A$1:$D$15, 2, FALSE)</f>
        <v>Asia</v>
      </c>
    </row>
    <row r="88">
      <c r="A88" s="4" t="s">
        <v>26</v>
      </c>
      <c r="B88" s="5">
        <v>2021.0</v>
      </c>
      <c r="C88" s="5">
        <v>60386.0</v>
      </c>
      <c r="D88" s="5">
        <v>5.38647343E9</v>
      </c>
      <c r="E88" s="5">
        <v>3.94782608696E11</v>
      </c>
      <c r="F88" s="5">
        <v>0.0136</v>
      </c>
      <c r="G88" s="3" t="str">
        <f>VLOOKUP(A88, 'IADI Scatter'!$A$1:$D$15, 2, FALSE)</f>
        <v>Asia</v>
      </c>
    </row>
    <row r="89">
      <c r="A89" s="4" t="s">
        <v>26</v>
      </c>
      <c r="B89" s="5">
        <v>2022.0</v>
      </c>
      <c r="C89" s="5">
        <v>56818.0</v>
      </c>
      <c r="D89" s="5">
        <v>5.5E9</v>
      </c>
      <c r="E89" s="5">
        <v>3.89454545455E11</v>
      </c>
      <c r="F89" s="5">
        <v>0.0141</v>
      </c>
      <c r="G89" s="3" t="str">
        <f>VLOOKUP(A89, 'IADI Scatter'!$A$1:$D$15, 2, FALSE)</f>
        <v>Asia</v>
      </c>
    </row>
    <row r="90">
      <c r="A90" s="4" t="s">
        <v>26</v>
      </c>
      <c r="B90" s="5">
        <v>2023.0</v>
      </c>
      <c r="C90" s="5">
        <v>54466.0</v>
      </c>
      <c r="D90" s="5">
        <v>5.68627451E9</v>
      </c>
      <c r="E90" s="5">
        <v>3.87450980392E11</v>
      </c>
      <c r="F90" s="5">
        <v>0.0147</v>
      </c>
      <c r="G90" s="3" t="str">
        <f>VLOOKUP(A90, 'IADI Scatter'!$A$1:$D$15, 2, FALSE)</f>
        <v>Asia</v>
      </c>
    </row>
    <row r="91">
      <c r="A91" s="4" t="s">
        <v>26</v>
      </c>
      <c r="B91" s="5">
        <v>2024.0</v>
      </c>
      <c r="C91" s="5">
        <v>55928.0</v>
      </c>
      <c r="D91" s="5">
        <v>6.286353468E9</v>
      </c>
      <c r="E91" s="5">
        <v>4.15570469799E11</v>
      </c>
      <c r="F91" s="5">
        <v>0.0151</v>
      </c>
      <c r="G91" s="3" t="str">
        <f>VLOOKUP(A91, 'IADI Scatter'!$A$1:$D$15, 2, FALSE)</f>
        <v>Asia</v>
      </c>
    </row>
    <row r="92">
      <c r="A92" s="4" t="s">
        <v>16</v>
      </c>
      <c r="B92" s="5">
        <v>2010.0</v>
      </c>
      <c r="C92" s="5">
        <v>1331.0</v>
      </c>
      <c r="D92" s="5">
        <v>1.967531603E9</v>
      </c>
      <c r="E92" s="5">
        <v>8.720159681E9</v>
      </c>
      <c r="F92" s="5">
        <v>0.2256</v>
      </c>
      <c r="G92" s="9" t="str">
        <f>VLOOKUP(A92, 'IADI Scatter'!$A$1:$D$15, 2, FALSE)</f>
        <v>Africa</v>
      </c>
    </row>
    <row r="93">
      <c r="A93" s="4" t="s">
        <v>16</v>
      </c>
      <c r="B93" s="5">
        <v>2011.0</v>
      </c>
      <c r="C93" s="5">
        <v>3250.0</v>
      </c>
      <c r="D93" s="5">
        <v>2.319511244E9</v>
      </c>
      <c r="E93" s="5">
        <v>6.512023918E9</v>
      </c>
      <c r="F93" s="5">
        <v>0.3562</v>
      </c>
      <c r="G93" s="9" t="str">
        <f>VLOOKUP(A93, 'IADI Scatter'!$A$1:$D$15, 2, FALSE)</f>
        <v>Africa</v>
      </c>
    </row>
    <row r="94">
      <c r="A94" s="4" t="s">
        <v>16</v>
      </c>
      <c r="B94" s="5">
        <v>2012.0</v>
      </c>
      <c r="C94" s="5">
        <v>3175.0</v>
      </c>
      <c r="D94" s="5">
        <v>2.699746032E9</v>
      </c>
      <c r="E94" s="5">
        <v>1.4667492063E10</v>
      </c>
      <c r="F94" s="5">
        <v>0.1841</v>
      </c>
      <c r="G94" s="9" t="str">
        <f>VLOOKUP(A94, 'IADI Scatter'!$A$1:$D$15, 2, FALSE)</f>
        <v>Africa</v>
      </c>
    </row>
    <row r="95">
      <c r="A95" s="4" t="s">
        <v>16</v>
      </c>
      <c r="B95" s="5">
        <v>2013.0</v>
      </c>
      <c r="C95" s="5">
        <v>3178.0</v>
      </c>
      <c r="D95" s="5">
        <v>3.229673892E9</v>
      </c>
      <c r="E95" s="5">
        <v>8.134002924E9</v>
      </c>
      <c r="F95" s="5">
        <v>0.3971</v>
      </c>
      <c r="G95" s="9" t="str">
        <f>VLOOKUP(A95, 'IADI Scatter'!$A$1:$D$15, 2, FALSE)</f>
        <v>Africa</v>
      </c>
    </row>
    <row r="96">
      <c r="A96" s="4" t="s">
        <v>16</v>
      </c>
      <c r="B96" s="5">
        <v>2014.0</v>
      </c>
      <c r="C96" s="5">
        <v>3154.0</v>
      </c>
      <c r="D96" s="5">
        <v>3.873604541E9</v>
      </c>
      <c r="E96" s="5">
        <v>8.677325765E9</v>
      </c>
      <c r="F96" s="5">
        <v>0.4464</v>
      </c>
      <c r="G96" s="9" t="str">
        <f>VLOOKUP(A96, 'IADI Scatter'!$A$1:$D$15, 2, FALSE)</f>
        <v>Africa</v>
      </c>
    </row>
    <row r="97">
      <c r="A97" s="4" t="s">
        <v>16</v>
      </c>
      <c r="B97" s="5">
        <v>2015.0</v>
      </c>
      <c r="C97" s="5">
        <v>2598.0</v>
      </c>
      <c r="D97" s="5">
        <v>3.77042195E9</v>
      </c>
      <c r="E97" s="5">
        <v>7.976927874E9</v>
      </c>
      <c r="F97" s="5">
        <v>0.4727</v>
      </c>
      <c r="G97" s="9" t="str">
        <f>VLOOKUP(A97, 'IADI Scatter'!$A$1:$D$15, 2, FALSE)</f>
        <v>Africa</v>
      </c>
    </row>
    <row r="98">
      <c r="A98" s="4" t="s">
        <v>16</v>
      </c>
      <c r="B98" s="5">
        <v>2016.0</v>
      </c>
      <c r="C98" s="5">
        <v>1972.0</v>
      </c>
      <c r="D98" s="5">
        <v>3.265967099E9</v>
      </c>
      <c r="E98" s="5">
        <v>5.554104698E9</v>
      </c>
      <c r="F98" s="5">
        <v>0.588</v>
      </c>
      <c r="G98" s="9" t="str">
        <f>VLOOKUP(A98, 'IADI Scatter'!$A$1:$D$15, 2, FALSE)</f>
        <v>Africa</v>
      </c>
    </row>
    <row r="99">
      <c r="A99" s="4" t="s">
        <v>16</v>
      </c>
      <c r="B99" s="5">
        <v>2017.0</v>
      </c>
      <c r="C99" s="5">
        <v>1635.0</v>
      </c>
      <c r="D99" s="5">
        <v>3.123646947E9</v>
      </c>
      <c r="E99" s="5">
        <v>5.236011642E9</v>
      </c>
      <c r="F99" s="5">
        <v>0.5966</v>
      </c>
      <c r="G99" s="9" t="str">
        <f>VLOOKUP(A99, 'IADI Scatter'!$A$1:$D$15, 2, FALSE)</f>
        <v>Africa</v>
      </c>
    </row>
    <row r="100">
      <c r="A100" s="4" t="s">
        <v>16</v>
      </c>
      <c r="B100" s="5">
        <v>2018.0</v>
      </c>
      <c r="C100" s="5">
        <v>1634.0</v>
      </c>
      <c r="D100" s="5">
        <v>3.578247517E9</v>
      </c>
      <c r="E100" s="5">
        <v>6.431651856E9</v>
      </c>
      <c r="F100" s="5">
        <v>0.5563</v>
      </c>
      <c r="G100" s="9" t="str">
        <f>VLOOKUP(A100, 'IADI Scatter'!$A$1:$D$15, 2, FALSE)</f>
        <v>Africa</v>
      </c>
    </row>
    <row r="101">
      <c r="A101" s="4" t="s">
        <v>16</v>
      </c>
      <c r="B101" s="5">
        <v>2019.0</v>
      </c>
      <c r="C101" s="5">
        <v>1629.0</v>
      </c>
      <c r="D101" s="5">
        <v>3.914179591E9</v>
      </c>
      <c r="E101" s="5">
        <v>6.861657761E9</v>
      </c>
      <c r="F101" s="5">
        <v>0.5704</v>
      </c>
      <c r="G101" s="9" t="str">
        <f>VLOOKUP(A101, 'IADI Scatter'!$A$1:$D$15, 2, FALSE)</f>
        <v>Africa</v>
      </c>
    </row>
    <row r="102">
      <c r="A102" s="4" t="s">
        <v>16</v>
      </c>
      <c r="B102" s="5">
        <v>2020.0</v>
      </c>
      <c r="C102" s="5">
        <v>1393.0</v>
      </c>
      <c r="D102" s="5">
        <v>3.826119673E9</v>
      </c>
      <c r="E102" s="5">
        <v>6.230177531E9</v>
      </c>
      <c r="F102" s="5">
        <v>0.6141</v>
      </c>
      <c r="G102" s="9" t="str">
        <f>VLOOKUP(A102, 'IADI Scatter'!$A$1:$D$15, 2, FALSE)</f>
        <v>Africa</v>
      </c>
    </row>
    <row r="103">
      <c r="A103" s="4" t="s">
        <v>16</v>
      </c>
      <c r="B103" s="5">
        <v>2021.0</v>
      </c>
      <c r="C103" s="5">
        <v>1246.0</v>
      </c>
      <c r="D103" s="5">
        <v>3.791250156E9</v>
      </c>
      <c r="E103" s="5">
        <v>6.424330051E9</v>
      </c>
      <c r="F103" s="5">
        <v>0.5901</v>
      </c>
      <c r="G103" s="9" t="str">
        <f>VLOOKUP(A103, 'IADI Scatter'!$A$1:$D$15, 2, FALSE)</f>
        <v>Africa</v>
      </c>
    </row>
    <row r="104">
      <c r="A104" s="4" t="s">
        <v>16</v>
      </c>
      <c r="B104" s="5">
        <v>2022.0</v>
      </c>
      <c r="C104" s="5">
        <v>1174.0</v>
      </c>
      <c r="D104" s="5">
        <v>4.1380816E9</v>
      </c>
      <c r="E104" s="5">
        <v>6.917226161E9</v>
      </c>
      <c r="F104" s="5">
        <v>0.5982</v>
      </c>
      <c r="G104" s="9" t="str">
        <f>VLOOKUP(A104, 'IADI Scatter'!$A$1:$D$15, 2, FALSE)</f>
        <v>Africa</v>
      </c>
    </row>
    <row r="105">
      <c r="A105" s="4" t="s">
        <v>16</v>
      </c>
      <c r="B105" s="5">
        <v>2023.0</v>
      </c>
      <c r="C105" s="5">
        <v>775.0</v>
      </c>
      <c r="D105" s="5">
        <v>3.1101226E9</v>
      </c>
      <c r="E105" s="5">
        <v>6.703389699E9</v>
      </c>
      <c r="F105" s="5">
        <v>0.464</v>
      </c>
      <c r="G105" s="9" t="str">
        <f>VLOOKUP(A105, 'IADI Scatter'!$A$1:$D$15, 2, FALSE)</f>
        <v>Africa</v>
      </c>
    </row>
    <row r="106">
      <c r="A106" s="4" t="s">
        <v>16</v>
      </c>
      <c r="B106" s="5">
        <v>2024.0</v>
      </c>
      <c r="C106" s="5">
        <v>3381.0</v>
      </c>
      <c r="D106" s="5">
        <v>1.541180687E9</v>
      </c>
      <c r="E106" s="5">
        <v>3.245501937E9</v>
      </c>
      <c r="F106" s="5">
        <v>0.4749</v>
      </c>
      <c r="G106" s="9" t="str">
        <f>VLOOKUP(A106, 'IADI Scatter'!$A$1:$D$15, 2, FALSE)</f>
        <v>Africa</v>
      </c>
    </row>
    <row r="107">
      <c r="A107" s="4" t="s">
        <v>27</v>
      </c>
      <c r="B107" s="5">
        <v>2010.0</v>
      </c>
      <c r="C107" s="5">
        <v>11086.0</v>
      </c>
      <c r="D107" s="5">
        <v>1.99556541E9</v>
      </c>
      <c r="E107" s="5">
        <v>2.3059866962E10</v>
      </c>
      <c r="F107" s="5">
        <v>0.0865</v>
      </c>
      <c r="G107" s="3" t="str">
        <f>VLOOKUP(A107, 'IADI Scatter'!$A$1:$D$15, 2, FALSE)</f>
        <v>Asia</v>
      </c>
    </row>
    <row r="108">
      <c r="A108" s="4" t="s">
        <v>27</v>
      </c>
      <c r="B108" s="5">
        <v>2011.0</v>
      </c>
      <c r="C108" s="5">
        <v>11547.0</v>
      </c>
      <c r="D108" s="5">
        <v>2.424942263E9</v>
      </c>
      <c r="E108" s="5">
        <v>2.7251732102E10</v>
      </c>
      <c r="F108" s="5">
        <v>0.089</v>
      </c>
      <c r="G108" s="9" t="str">
        <f>VLOOKUP(A108, 'IADI Scatter'!$A$1:$D$15, 2, FALSE)</f>
        <v>Asia</v>
      </c>
    </row>
    <row r="109">
      <c r="A109" s="4" t="s">
        <v>27</v>
      </c>
      <c r="B109" s="5">
        <v>2012.0</v>
      </c>
      <c r="C109" s="5">
        <v>11848.0</v>
      </c>
      <c r="D109" s="5">
        <v>2.962085308E9</v>
      </c>
      <c r="E109" s="5">
        <v>3.1753554502E10</v>
      </c>
      <c r="F109" s="5">
        <v>0.0933</v>
      </c>
      <c r="G109" s="9" t="str">
        <f>VLOOKUP(A109, 'IADI Scatter'!$A$1:$D$15, 2, FALSE)</f>
        <v>Asia</v>
      </c>
    </row>
    <row r="110">
      <c r="A110" s="4" t="s">
        <v>27</v>
      </c>
      <c r="B110" s="5">
        <v>2013.0</v>
      </c>
      <c r="C110" s="5">
        <v>11792.0</v>
      </c>
      <c r="D110" s="5">
        <v>3.419811321E9</v>
      </c>
      <c r="E110" s="5">
        <v>3.5849056604E10</v>
      </c>
      <c r="F110" s="5">
        <v>0.0954</v>
      </c>
      <c r="G110" s="9" t="str">
        <f>VLOOKUP(A110, 'IADI Scatter'!$A$1:$D$15, 2, FALSE)</f>
        <v>Asia</v>
      </c>
    </row>
    <row r="111">
      <c r="A111" s="4" t="s">
        <v>27</v>
      </c>
      <c r="B111" s="5">
        <v>2014.0</v>
      </c>
      <c r="C111" s="5">
        <v>11261.0</v>
      </c>
      <c r="D111" s="5">
        <v>3.716216216E9</v>
      </c>
      <c r="E111" s="5">
        <v>3.8288288288E10</v>
      </c>
      <c r="F111" s="5">
        <v>0.0971</v>
      </c>
      <c r="G111" s="9" t="str">
        <f>VLOOKUP(A111, 'IADI Scatter'!$A$1:$D$15, 2, FALSE)</f>
        <v>Asia</v>
      </c>
    </row>
    <row r="112">
      <c r="A112" s="4" t="s">
        <v>27</v>
      </c>
      <c r="B112" s="5">
        <v>2015.0</v>
      </c>
      <c r="C112" s="5">
        <v>10989.0</v>
      </c>
      <c r="D112" s="5">
        <v>4.065934066E9</v>
      </c>
      <c r="E112" s="5">
        <v>4.1318681319E10</v>
      </c>
      <c r="F112" s="5">
        <v>0.0984</v>
      </c>
      <c r="G112" s="9" t="str">
        <f>VLOOKUP(A112, 'IADI Scatter'!$A$1:$D$15, 2, FALSE)</f>
        <v>Asia</v>
      </c>
    </row>
    <row r="113">
      <c r="A113" s="4" t="s">
        <v>27</v>
      </c>
      <c r="B113" s="5">
        <v>2016.0</v>
      </c>
      <c r="C113" s="5">
        <v>10526.0</v>
      </c>
      <c r="D113" s="5">
        <v>4.210526316E9</v>
      </c>
      <c r="E113" s="5">
        <v>4.3789473684E10</v>
      </c>
      <c r="F113" s="5">
        <v>0.0962</v>
      </c>
      <c r="G113" s="9" t="str">
        <f>VLOOKUP(A113, 'IADI Scatter'!$A$1:$D$15, 2, FALSE)</f>
        <v>Asia</v>
      </c>
    </row>
    <row r="114">
      <c r="A114" s="4" t="s">
        <v>27</v>
      </c>
      <c r="B114" s="5">
        <v>2017.0</v>
      </c>
      <c r="C114" s="5">
        <v>9921.0</v>
      </c>
      <c r="D114" s="5">
        <v>4.166666667E9</v>
      </c>
      <c r="E114" s="5">
        <v>4.5634920635E10</v>
      </c>
      <c r="F114" s="5">
        <v>0.0913</v>
      </c>
      <c r="G114" s="9" t="str">
        <f>VLOOKUP(A114, 'IADI Scatter'!$A$1:$D$15, 2, FALSE)</f>
        <v>Asia</v>
      </c>
    </row>
    <row r="115">
      <c r="A115" s="4" t="s">
        <v>27</v>
      </c>
      <c r="B115" s="5">
        <v>2018.0</v>
      </c>
      <c r="C115" s="5">
        <v>9488.0</v>
      </c>
      <c r="D115" s="5">
        <v>4.079696395E9</v>
      </c>
      <c r="E115" s="5">
        <v>4.8576850095E10</v>
      </c>
      <c r="F115" s="5">
        <v>0.084</v>
      </c>
      <c r="G115" s="9" t="str">
        <f>VLOOKUP(A115, 'IADI Scatter'!$A$1:$D$15, 2, FALSE)</f>
        <v>Asia</v>
      </c>
    </row>
    <row r="116">
      <c r="A116" s="4" t="s">
        <v>27</v>
      </c>
      <c r="B116" s="5">
        <v>2019.0</v>
      </c>
      <c r="C116" s="5">
        <v>9653.0</v>
      </c>
      <c r="D116" s="5">
        <v>4.150579151E9</v>
      </c>
      <c r="E116" s="5">
        <v>5.2084942085E10</v>
      </c>
      <c r="F116" s="5">
        <v>0.0797</v>
      </c>
      <c r="G116" s="9" t="str">
        <f>VLOOKUP(A116, 'IADI Scatter'!$A$1:$D$15, 2, FALSE)</f>
        <v>Asia</v>
      </c>
    </row>
    <row r="117">
      <c r="A117" s="4" t="s">
        <v>27</v>
      </c>
      <c r="B117" s="5">
        <v>2020.0</v>
      </c>
      <c r="C117" s="5">
        <v>10081.0</v>
      </c>
      <c r="D117" s="5">
        <v>4.330645161E9</v>
      </c>
      <c r="E117" s="5">
        <v>6.0524193548E10</v>
      </c>
      <c r="F117" s="5">
        <v>0.0716</v>
      </c>
      <c r="G117" s="9" t="str">
        <f>VLOOKUP(A117, 'IADI Scatter'!$A$1:$D$15, 2, FALSE)</f>
        <v>Asia</v>
      </c>
    </row>
    <row r="118">
      <c r="A118" s="4" t="s">
        <v>27</v>
      </c>
      <c r="B118" s="5">
        <v>2021.0</v>
      </c>
      <c r="C118" s="5">
        <v>10020.0</v>
      </c>
      <c r="D118" s="5">
        <v>5.01002004E9</v>
      </c>
      <c r="E118" s="5">
        <v>6.2044088176E10</v>
      </c>
      <c r="F118" s="5">
        <v>0.0807</v>
      </c>
      <c r="G118" s="9" t="str">
        <f>VLOOKUP(A118, 'IADI Scatter'!$A$1:$D$15, 2, FALSE)</f>
        <v>Asia</v>
      </c>
    </row>
    <row r="119">
      <c r="A119" s="4" t="s">
        <v>27</v>
      </c>
      <c r="B119" s="5">
        <v>2022.0</v>
      </c>
      <c r="C119" s="5">
        <v>9174.0</v>
      </c>
      <c r="D119" s="5">
        <v>5.321100917E9</v>
      </c>
      <c r="E119" s="5">
        <v>6.1100917431E10</v>
      </c>
      <c r="F119" s="5">
        <v>0.0871</v>
      </c>
      <c r="G119" s="9" t="str">
        <f>VLOOKUP(A119, 'IADI Scatter'!$A$1:$D$15, 2, FALSE)</f>
        <v>Asia</v>
      </c>
    </row>
    <row r="120">
      <c r="A120" s="4" t="s">
        <v>27</v>
      </c>
      <c r="B120" s="5">
        <v>2023.0</v>
      </c>
      <c r="C120" s="5">
        <v>8993.0</v>
      </c>
      <c r="D120" s="5">
        <v>5.935251799E9</v>
      </c>
      <c r="E120" s="5">
        <v>6.2805755396E10</v>
      </c>
      <c r="F120" s="5">
        <v>0.0945</v>
      </c>
      <c r="G120" s="9" t="str">
        <f>VLOOKUP(A120, 'IADI Scatter'!$A$1:$D$15, 2, FALSE)</f>
        <v>Asia</v>
      </c>
    </row>
    <row r="121">
      <c r="A121" s="4" t="s">
        <v>27</v>
      </c>
      <c r="B121" s="5">
        <v>2024.0</v>
      </c>
      <c r="C121" s="5">
        <v>8850.0</v>
      </c>
      <c r="D121" s="5">
        <v>6.460176991E9</v>
      </c>
      <c r="E121" s="5">
        <v>6.6109734513E10</v>
      </c>
      <c r="F121" s="5">
        <v>0.0977</v>
      </c>
      <c r="G121" s="9" t="str">
        <f>VLOOKUP(A121, 'IADI Scatter'!$A$1:$D$15, 2, FALSE)</f>
        <v>Asia</v>
      </c>
    </row>
    <row r="122">
      <c r="A122" s="4" t="s">
        <v>30</v>
      </c>
      <c r="B122" s="5">
        <v>2010.0</v>
      </c>
      <c r="C122" s="5">
        <v>43290.0</v>
      </c>
      <c r="D122" s="5">
        <v>6.926406926E9</v>
      </c>
      <c r="E122" s="5">
        <v>1.852813852814E12</v>
      </c>
      <c r="F122" s="5">
        <v>0.0037</v>
      </c>
      <c r="G122" s="9" t="str">
        <f>VLOOKUP(A122, 'IADI Scatter'!$A$1:$D$15, 2, FALSE)</f>
        <v>Asia</v>
      </c>
    </row>
    <row r="123">
      <c r="A123" s="4" t="s">
        <v>30</v>
      </c>
      <c r="B123" s="5">
        <v>2011.0</v>
      </c>
      <c r="C123" s="5">
        <v>45126.0</v>
      </c>
      <c r="D123" s="5">
        <v>8.393501805E9</v>
      </c>
      <c r="E123" s="5">
        <v>2.048736462094E12</v>
      </c>
      <c r="F123" s="5">
        <v>0.0041</v>
      </c>
      <c r="G123" s="9" t="str">
        <f>VLOOKUP(A123, 'IADI Scatter'!$A$1:$D$15, 2, FALSE)</f>
        <v>Asia</v>
      </c>
    </row>
    <row r="124">
      <c r="A124" s="4" t="s">
        <v>30</v>
      </c>
      <c r="B124" s="5">
        <v>2012.0</v>
      </c>
      <c r="C124" s="5">
        <v>44366.0</v>
      </c>
      <c r="D124" s="5">
        <v>9.494232476E9</v>
      </c>
      <c r="E124" s="5">
        <v>2.156166814552E12</v>
      </c>
      <c r="F124" s="5">
        <v>0.0044</v>
      </c>
      <c r="G124" s="9" t="str">
        <f>VLOOKUP(A124, 'IADI Scatter'!$A$1:$D$15, 2, FALSE)</f>
        <v>Asia</v>
      </c>
    </row>
    <row r="125">
      <c r="A125" s="4" t="s">
        <v>30</v>
      </c>
      <c r="B125" s="5">
        <v>2013.0</v>
      </c>
      <c r="C125" s="5">
        <v>45662.0</v>
      </c>
      <c r="D125" s="5">
        <v>1.1232876712E10</v>
      </c>
      <c r="E125" s="5">
        <v>2.374429223744E12</v>
      </c>
      <c r="F125" s="5">
        <v>0.0047</v>
      </c>
      <c r="G125" s="9" t="str">
        <f>VLOOKUP(A125, 'IADI Scatter'!$A$1:$D$15, 2, FALSE)</f>
        <v>Asia</v>
      </c>
    </row>
    <row r="126">
      <c r="A126" s="4" t="s">
        <v>30</v>
      </c>
      <c r="B126" s="5">
        <v>2014.0</v>
      </c>
      <c r="C126" s="5">
        <v>47483.0</v>
      </c>
      <c r="D126" s="5">
        <v>1.3295346629E10</v>
      </c>
      <c r="E126" s="5">
        <v>2.640075973409E12</v>
      </c>
      <c r="F126" s="5">
        <v>0.005</v>
      </c>
      <c r="G126" s="9" t="str">
        <f>VLOOKUP(A126, 'IADI Scatter'!$A$1:$D$15, 2, FALSE)</f>
        <v>Asia</v>
      </c>
    </row>
    <row r="127">
      <c r="A127" s="4" t="s">
        <v>30</v>
      </c>
      <c r="B127" s="5">
        <v>2015.0</v>
      </c>
      <c r="C127" s="5">
        <v>44209.0</v>
      </c>
      <c r="D127" s="5">
        <v>1.3969938108E10</v>
      </c>
      <c r="E127" s="5">
        <v>2.617152961981E12</v>
      </c>
      <c r="F127" s="5">
        <v>0.0053</v>
      </c>
      <c r="G127" s="9" t="str">
        <f>VLOOKUP(A127, 'IADI Scatter'!$A$1:$D$15, 2, FALSE)</f>
        <v>Asia</v>
      </c>
    </row>
    <row r="128">
      <c r="A128" s="4" t="s">
        <v>30</v>
      </c>
      <c r="B128" s="5">
        <v>2016.0</v>
      </c>
      <c r="C128" s="5">
        <v>43066.0</v>
      </c>
      <c r="D128" s="5">
        <v>1.5245478036E10</v>
      </c>
      <c r="E128" s="5">
        <v>2.695951765719E12</v>
      </c>
      <c r="F128" s="5">
        <v>0.0057</v>
      </c>
      <c r="G128" s="9" t="str">
        <f>VLOOKUP(A128, 'IADI Scatter'!$A$1:$D$15, 2, FALSE)</f>
        <v>Asia</v>
      </c>
    </row>
    <row r="129">
      <c r="A129" s="4" t="s">
        <v>30</v>
      </c>
      <c r="B129" s="5">
        <v>2017.0</v>
      </c>
      <c r="C129" s="5">
        <v>44248.0</v>
      </c>
      <c r="D129" s="5">
        <v>1.7433628319E10</v>
      </c>
      <c r="E129" s="5">
        <v>2.929203539823E12</v>
      </c>
      <c r="F129" s="5">
        <v>0.006</v>
      </c>
      <c r="G129" s="9" t="str">
        <f>VLOOKUP(A129, 'IADI Scatter'!$A$1:$D$15, 2, FALSE)</f>
        <v>Asia</v>
      </c>
    </row>
    <row r="130">
      <c r="A130" s="4" t="s">
        <v>30</v>
      </c>
      <c r="B130" s="5">
        <v>2018.0</v>
      </c>
      <c r="C130" s="5">
        <v>45413.0</v>
      </c>
      <c r="D130" s="5">
        <v>1.9800181653E10</v>
      </c>
      <c r="E130" s="5">
        <v>3.188010899183E12</v>
      </c>
      <c r="F130" s="5">
        <v>0.0062</v>
      </c>
      <c r="G130" s="9" t="str">
        <f>VLOOKUP(A130, 'IADI Scatter'!$A$1:$D$15, 2, FALSE)</f>
        <v>Asia</v>
      </c>
    </row>
    <row r="131">
      <c r="A131" s="4" t="s">
        <v>30</v>
      </c>
      <c r="B131" s="5">
        <v>2019.0</v>
      </c>
      <c r="C131" s="5">
        <v>42918.0</v>
      </c>
      <c r="D131" s="5">
        <v>2.0600858369E10</v>
      </c>
      <c r="E131" s="5">
        <v>3.19313304721E12</v>
      </c>
      <c r="F131" s="5">
        <v>0.0065</v>
      </c>
      <c r="G131" s="9" t="str">
        <f>VLOOKUP(A131, 'IADI Scatter'!$A$1:$D$15, 2, FALSE)</f>
        <v>Asia</v>
      </c>
    </row>
    <row r="132">
      <c r="A132" s="4" t="s">
        <v>30</v>
      </c>
      <c r="B132" s="5">
        <v>2020.0</v>
      </c>
      <c r="C132" s="5">
        <v>42373.0</v>
      </c>
      <c r="D132" s="5">
        <v>2.2288135593E10</v>
      </c>
      <c r="E132" s="5">
        <v>3.35593220339E12</v>
      </c>
      <c r="F132" s="5">
        <v>0.0066</v>
      </c>
      <c r="G132" s="9" t="str">
        <f>VLOOKUP(A132, 'IADI Scatter'!$A$1:$D$15, 2, FALSE)</f>
        <v>Asia</v>
      </c>
    </row>
    <row r="133">
      <c r="A133" s="4" t="s">
        <v>30</v>
      </c>
      <c r="B133" s="5">
        <v>2021.0</v>
      </c>
      <c r="C133" s="5">
        <v>43668.0</v>
      </c>
      <c r="D133" s="5">
        <v>2.5065502183E10</v>
      </c>
      <c r="E133" s="5">
        <v>3.624454148472E12</v>
      </c>
      <c r="F133" s="5">
        <v>0.0069</v>
      </c>
      <c r="G133" s="9" t="str">
        <f>VLOOKUP(A133, 'IADI Scatter'!$A$1:$D$15, 2, FALSE)</f>
        <v>Asia</v>
      </c>
    </row>
    <row r="134">
      <c r="A134" s="4" t="s">
        <v>30</v>
      </c>
      <c r="B134" s="5">
        <v>2022.0</v>
      </c>
      <c r="C134" s="5">
        <v>38700.0</v>
      </c>
      <c r="D134" s="5">
        <v>2.3916408669E10</v>
      </c>
      <c r="E134" s="5">
        <v>3.343653250774E12</v>
      </c>
      <c r="F134" s="5">
        <v>0.0072</v>
      </c>
      <c r="G134" s="9" t="str">
        <f>VLOOKUP(A134, 'IADI Scatter'!$A$1:$D$15, 2, FALSE)</f>
        <v>Asia</v>
      </c>
    </row>
    <row r="135">
      <c r="A135" s="4" t="s">
        <v>30</v>
      </c>
      <c r="B135" s="5">
        <v>2023.0</v>
      </c>
      <c r="C135" s="5">
        <v>38314.0</v>
      </c>
      <c r="D135" s="5">
        <v>2.5134099617E10</v>
      </c>
      <c r="E135" s="5">
        <v>3.409961685824E12</v>
      </c>
      <c r="F135" s="5">
        <v>0.0074</v>
      </c>
      <c r="G135" s="9" t="str">
        <f>VLOOKUP(A135, 'IADI Scatter'!$A$1:$D$15, 2, FALSE)</f>
        <v>Asia</v>
      </c>
    </row>
    <row r="136">
      <c r="A136" s="4" t="s">
        <v>30</v>
      </c>
      <c r="B136" s="5">
        <v>2024.0</v>
      </c>
      <c r="C136" s="5">
        <v>36684.0</v>
      </c>
      <c r="D136" s="5">
        <v>2.5605282465E10</v>
      </c>
      <c r="E136" s="5">
        <v>3.374908290536E12</v>
      </c>
      <c r="F136" s="5">
        <v>0.0076</v>
      </c>
      <c r="G136" s="9" t="str">
        <f>VLOOKUP(A136, 'IADI Scatter'!$A$1:$D$15, 2, FALSE)</f>
        <v>Asia</v>
      </c>
    </row>
    <row r="137">
      <c r="A137" s="4" t="s">
        <v>31</v>
      </c>
      <c r="B137" s="5">
        <v>2010.0</v>
      </c>
      <c r="C137" s="5">
        <v>95238.0</v>
      </c>
      <c r="D137" s="5">
        <v>6.3492063E7</v>
      </c>
      <c r="E137" s="5">
        <v>1.61904761905E11</v>
      </c>
      <c r="F137" s="5">
        <v>4.0E-4</v>
      </c>
      <c r="G137" s="9" t="str">
        <f>VLOOKUP(A137, 'IADI Scatter'!$A$1:$D$15, 2, FALSE)</f>
        <v>Asia</v>
      </c>
    </row>
    <row r="138">
      <c r="A138" s="4" t="s">
        <v>31</v>
      </c>
      <c r="B138" s="5">
        <v>2011.0</v>
      </c>
      <c r="C138" s="5">
        <v>101695.0</v>
      </c>
      <c r="D138" s="5">
        <v>1.69491525E8</v>
      </c>
      <c r="E138" s="5">
        <v>1.78644067797E11</v>
      </c>
      <c r="F138" s="5">
        <v>9.0E-4</v>
      </c>
      <c r="G138" s="9" t="str">
        <f>VLOOKUP(A138, 'IADI Scatter'!$A$1:$D$15, 2, FALSE)</f>
        <v>Asia</v>
      </c>
    </row>
    <row r="139">
      <c r="A139" s="4" t="s">
        <v>31</v>
      </c>
      <c r="B139" s="5">
        <v>2012.0</v>
      </c>
      <c r="C139" s="5">
        <v>101351.0</v>
      </c>
      <c r="D139" s="5">
        <v>3.04054054E8</v>
      </c>
      <c r="E139" s="5">
        <v>1.86655405405E11</v>
      </c>
      <c r="F139" s="5">
        <v>0.0016</v>
      </c>
      <c r="G139" s="9" t="str">
        <f>VLOOKUP(A139, 'IADI Scatter'!$A$1:$D$15, 2, FALSE)</f>
        <v>Asia</v>
      </c>
    </row>
    <row r="140">
      <c r="A140" s="4" t="s">
        <v>31</v>
      </c>
      <c r="B140" s="5">
        <v>2013.0</v>
      </c>
      <c r="C140" s="5">
        <v>100671.0</v>
      </c>
      <c r="D140" s="5">
        <v>4.69798658E8</v>
      </c>
      <c r="E140" s="5">
        <v>1.93959731544E11</v>
      </c>
      <c r="F140" s="5">
        <v>0.0024</v>
      </c>
      <c r="G140" s="9" t="str">
        <f>VLOOKUP(A140, 'IADI Scatter'!$A$1:$D$15, 2, FALSE)</f>
        <v>Asia</v>
      </c>
    </row>
    <row r="141">
      <c r="A141" s="4" t="s">
        <v>31</v>
      </c>
      <c r="B141" s="5">
        <v>2014.0</v>
      </c>
      <c r="C141" s="5">
        <v>98684.0</v>
      </c>
      <c r="D141" s="5">
        <v>6.57894737E8</v>
      </c>
      <c r="E141" s="5">
        <v>1.98519736842E11</v>
      </c>
      <c r="F141" s="5">
        <v>0.0033</v>
      </c>
      <c r="G141" s="9" t="str">
        <f>VLOOKUP(A141, 'IADI Scatter'!$A$1:$D$15, 2, FALSE)</f>
        <v>Asia</v>
      </c>
    </row>
    <row r="142">
      <c r="A142" s="4" t="s">
        <v>31</v>
      </c>
      <c r="B142" s="5">
        <v>2015.0</v>
      </c>
      <c r="C142" s="5">
        <v>91185.0</v>
      </c>
      <c r="D142" s="5">
        <v>7.59878419E8</v>
      </c>
      <c r="E142" s="5">
        <v>1.91185410334E11</v>
      </c>
      <c r="F142" s="5">
        <v>0.004</v>
      </c>
      <c r="G142" s="9" t="str">
        <f>VLOOKUP(A142, 'IADI Scatter'!$A$1:$D$15, 2, FALSE)</f>
        <v>Asia</v>
      </c>
    </row>
    <row r="143">
      <c r="A143" s="4" t="s">
        <v>31</v>
      </c>
      <c r="B143" s="5">
        <v>2016.0</v>
      </c>
      <c r="C143" s="5">
        <v>92879.0</v>
      </c>
      <c r="D143" s="5">
        <v>8.97832817E8</v>
      </c>
      <c r="E143" s="5">
        <v>2.02631578947E11</v>
      </c>
      <c r="F143" s="5">
        <v>0.0044</v>
      </c>
      <c r="G143" s="9" t="str">
        <f>VLOOKUP(A143, 'IADI Scatter'!$A$1:$D$15, 2, FALSE)</f>
        <v>Asia</v>
      </c>
    </row>
    <row r="144">
      <c r="A144" s="4" t="s">
        <v>31</v>
      </c>
      <c r="B144" s="5">
        <v>2017.0</v>
      </c>
      <c r="C144" s="5">
        <v>98684.0</v>
      </c>
      <c r="D144" s="5">
        <v>1.052631579E9</v>
      </c>
      <c r="E144" s="5">
        <v>2.23684210526E11</v>
      </c>
      <c r="F144" s="5">
        <v>0.0047</v>
      </c>
      <c r="G144" s="9" t="str">
        <f>VLOOKUP(A144, 'IADI Scatter'!$A$1:$D$15, 2, FALSE)</f>
        <v>Asia</v>
      </c>
    </row>
    <row r="145">
      <c r="A145" s="4" t="s">
        <v>31</v>
      </c>
      <c r="B145" s="5">
        <v>2018.0</v>
      </c>
      <c r="C145" s="5">
        <v>97720.0</v>
      </c>
      <c r="D145" s="5">
        <v>1.140065147E9</v>
      </c>
      <c r="E145" s="5">
        <v>2.29804560261E11</v>
      </c>
      <c r="F145" s="5">
        <v>0.005</v>
      </c>
      <c r="G145" s="9" t="str">
        <f>VLOOKUP(A145, 'IADI Scatter'!$A$1:$D$15, 2, FALSE)</f>
        <v>Asia</v>
      </c>
    </row>
    <row r="146">
      <c r="A146" s="4" t="s">
        <v>31</v>
      </c>
      <c r="B146" s="5">
        <v>2019.0</v>
      </c>
      <c r="C146" s="5">
        <v>97087.0</v>
      </c>
      <c r="D146" s="5">
        <v>1.197411003E9</v>
      </c>
      <c r="E146" s="5">
        <v>2.36569579288E11</v>
      </c>
      <c r="F146" s="5">
        <v>0.0051</v>
      </c>
      <c r="G146" s="9" t="str">
        <f>VLOOKUP(A146, 'IADI Scatter'!$A$1:$D$15, 2, FALSE)</f>
        <v>Asia</v>
      </c>
    </row>
    <row r="147">
      <c r="A147" s="4" t="s">
        <v>31</v>
      </c>
      <c r="B147" s="5">
        <v>2020.0</v>
      </c>
      <c r="C147" s="5">
        <v>101695.0</v>
      </c>
      <c r="D147" s="5">
        <v>1.288135593E9</v>
      </c>
      <c r="E147" s="5">
        <v>2.59322033898E11</v>
      </c>
      <c r="F147" s="5">
        <v>0.005</v>
      </c>
      <c r="G147" s="9" t="str">
        <f>VLOOKUP(A147, 'IADI Scatter'!$A$1:$D$15, 2, FALSE)</f>
        <v>Asia</v>
      </c>
    </row>
    <row r="148">
      <c r="A148" s="4" t="s">
        <v>31</v>
      </c>
      <c r="B148" s="5">
        <v>2021.0</v>
      </c>
      <c r="C148" s="5">
        <v>107527.0</v>
      </c>
      <c r="D148" s="5">
        <v>1.64874552E9</v>
      </c>
      <c r="E148" s="5">
        <v>2.89426523297E11</v>
      </c>
      <c r="F148" s="5">
        <v>0.0057</v>
      </c>
      <c r="G148" s="9" t="str">
        <f>VLOOKUP(A148, 'IADI Scatter'!$A$1:$D$15, 2, FALSE)</f>
        <v>Asia</v>
      </c>
    </row>
    <row r="149">
      <c r="A149" s="4" t="s">
        <v>31</v>
      </c>
      <c r="B149" s="5">
        <v>2022.0</v>
      </c>
      <c r="C149" s="5">
        <v>100000.0</v>
      </c>
      <c r="D149" s="5">
        <v>1.866666667E9</v>
      </c>
      <c r="E149" s="5">
        <v>2.77666666667E11</v>
      </c>
      <c r="F149" s="5">
        <v>0.0067</v>
      </c>
      <c r="G149" s="9" t="str">
        <f>VLOOKUP(A149, 'IADI Scatter'!$A$1:$D$15, 2, FALSE)</f>
        <v>Asia</v>
      </c>
    </row>
    <row r="150">
      <c r="A150" s="4" t="s">
        <v>31</v>
      </c>
      <c r="B150" s="5">
        <v>2023.0</v>
      </c>
      <c r="C150" s="5">
        <v>96463.0</v>
      </c>
      <c r="D150" s="5">
        <v>2.122186495E9</v>
      </c>
      <c r="E150" s="5">
        <v>2.76045016077E11</v>
      </c>
      <c r="F150" s="5">
        <v>0.0077</v>
      </c>
      <c r="G150" s="9" t="str">
        <f>VLOOKUP(A150, 'IADI Scatter'!$A$1:$D$15, 2, FALSE)</f>
        <v>Asia</v>
      </c>
    </row>
    <row r="151">
      <c r="A151" s="4" t="s">
        <v>31</v>
      </c>
      <c r="B151" s="5">
        <v>2024.0</v>
      </c>
      <c r="C151" s="5">
        <v>92308.0</v>
      </c>
      <c r="D151" s="5">
        <v>2.338461538E9</v>
      </c>
      <c r="E151" s="5">
        <v>2.72E11</v>
      </c>
      <c r="F151" s="5">
        <v>0.0086</v>
      </c>
      <c r="G151" s="9" t="str">
        <f>VLOOKUP(A151, 'IADI Scatter'!$A$1:$D$15, 2, FALSE)</f>
        <v>Asia</v>
      </c>
    </row>
    <row r="152">
      <c r="A152" s="4" t="s">
        <v>20</v>
      </c>
      <c r="B152" s="5">
        <v>2010.0</v>
      </c>
      <c r="C152" s="5">
        <v>1065.0</v>
      </c>
      <c r="D152" s="5">
        <v>1.31298793E8</v>
      </c>
      <c r="E152" s="5">
        <v>2.860184528E9</v>
      </c>
      <c r="F152" s="5">
        <v>0.0459</v>
      </c>
      <c r="G152" s="9" t="str">
        <f>VLOOKUP(A152, 'IADI Scatter'!$A$1:$D$15, 2, FALSE)</f>
        <v>Africa</v>
      </c>
    </row>
    <row r="153">
      <c r="A153" s="4" t="s">
        <v>20</v>
      </c>
      <c r="B153" s="5">
        <v>2011.0</v>
      </c>
      <c r="C153" s="5">
        <v>954.0</v>
      </c>
      <c r="D153" s="5">
        <v>1.55753338E8</v>
      </c>
      <c r="E153" s="5">
        <v>3.223140496E9</v>
      </c>
      <c r="F153" s="5">
        <v>0.0483</v>
      </c>
      <c r="G153" s="9" t="str">
        <f>VLOOKUP(A153, 'IADI Scatter'!$A$1:$D$15, 2, FALSE)</f>
        <v>Africa</v>
      </c>
    </row>
    <row r="154">
      <c r="A154" s="4" t="s">
        <v>20</v>
      </c>
      <c r="B154" s="5">
        <v>2012.0</v>
      </c>
      <c r="C154" s="5">
        <v>948.0</v>
      </c>
      <c r="D154" s="5">
        <v>1.98989261E8</v>
      </c>
      <c r="E154" s="5">
        <v>3.900821226E9</v>
      </c>
      <c r="F154" s="5">
        <v>0.051</v>
      </c>
      <c r="G154" s="9" t="str">
        <f>VLOOKUP(A154, 'IADI Scatter'!$A$1:$D$15, 2, FALSE)</f>
        <v>Africa</v>
      </c>
    </row>
    <row r="155">
      <c r="A155" s="4" t="s">
        <v>20</v>
      </c>
      <c r="B155" s="5">
        <v>2013.0</v>
      </c>
      <c r="C155" s="5">
        <v>937.0</v>
      </c>
      <c r="D155" s="5">
        <v>2.49843848E8</v>
      </c>
      <c r="E155" s="5">
        <v>4.547158026E9</v>
      </c>
      <c r="F155" s="5">
        <v>0.0549</v>
      </c>
      <c r="G155" s="9" t="str">
        <f>VLOOKUP(A155, 'IADI Scatter'!$A$1:$D$15, 2, FALSE)</f>
        <v>Africa</v>
      </c>
    </row>
    <row r="156">
      <c r="A156" s="4" t="s">
        <v>20</v>
      </c>
      <c r="B156" s="5">
        <v>2014.0</v>
      </c>
      <c r="C156" s="5">
        <v>909.0</v>
      </c>
      <c r="D156" s="5">
        <v>3.0284676E8</v>
      </c>
      <c r="E156" s="5">
        <v>5.31496063E9</v>
      </c>
      <c r="F156" s="5">
        <v>0.057</v>
      </c>
      <c r="G156" s="9" t="str">
        <f>VLOOKUP(A156, 'IADI Scatter'!$A$1:$D$15, 2, FALSE)</f>
        <v>Africa</v>
      </c>
    </row>
    <row r="157">
      <c r="A157" s="4" t="s">
        <v>20</v>
      </c>
      <c r="B157" s="5">
        <v>2015.0</v>
      </c>
      <c r="C157" s="5">
        <v>690.0</v>
      </c>
      <c r="D157" s="5">
        <v>2.82758621E8</v>
      </c>
      <c r="E157" s="5">
        <v>4.72183908E9</v>
      </c>
      <c r="F157" s="5">
        <v>0.0599</v>
      </c>
      <c r="G157" s="9" t="str">
        <f>VLOOKUP(A157, 'IADI Scatter'!$A$1:$D$15, 2, FALSE)</f>
        <v>Africa</v>
      </c>
    </row>
    <row r="158">
      <c r="A158" s="4" t="s">
        <v>20</v>
      </c>
      <c r="B158" s="5">
        <v>2016.0</v>
      </c>
      <c r="C158" s="5">
        <v>689.0</v>
      </c>
      <c r="D158" s="5">
        <v>3.35169881E8</v>
      </c>
      <c r="E158" s="5">
        <v>5.133149679E9</v>
      </c>
      <c r="F158" s="5">
        <v>0.0653</v>
      </c>
      <c r="G158" s="9" t="str">
        <f>VLOOKUP(A158, 'IADI Scatter'!$A$1:$D$15, 2, FALSE)</f>
        <v>Africa</v>
      </c>
    </row>
    <row r="159">
      <c r="A159" s="4" t="s">
        <v>20</v>
      </c>
      <c r="B159" s="5">
        <v>2017.0</v>
      </c>
      <c r="C159" s="5">
        <v>673.0</v>
      </c>
      <c r="D159" s="5">
        <v>3.85823239E8</v>
      </c>
      <c r="E159" s="5">
        <v>5.540601166E9</v>
      </c>
      <c r="F159" s="5">
        <v>0.0696</v>
      </c>
      <c r="G159" s="9" t="str">
        <f>VLOOKUP(A159, 'IADI Scatter'!$A$1:$D$15, 2, FALSE)</f>
        <v>Africa</v>
      </c>
    </row>
    <row r="160">
      <c r="A160" s="4" t="s">
        <v>20</v>
      </c>
      <c r="B160" s="5">
        <v>2018.0</v>
      </c>
      <c r="C160" s="5">
        <v>663.0</v>
      </c>
      <c r="D160" s="5">
        <v>4.46310208E8</v>
      </c>
      <c r="E160" s="5">
        <v>6.175430844E9</v>
      </c>
      <c r="F160" s="5">
        <v>0.0723</v>
      </c>
      <c r="G160" s="9" t="str">
        <f>VLOOKUP(A160, 'IADI Scatter'!$A$1:$D$15, 2, FALSE)</f>
        <v>Africa</v>
      </c>
    </row>
    <row r="161">
      <c r="A161" s="4" t="s">
        <v>20</v>
      </c>
      <c r="B161" s="5">
        <v>2019.0</v>
      </c>
      <c r="C161" s="5">
        <v>653.0</v>
      </c>
      <c r="D161" s="5">
        <v>5.09138381E8</v>
      </c>
      <c r="E161" s="5">
        <v>6.731940818E9</v>
      </c>
      <c r="F161" s="5">
        <v>0.0756</v>
      </c>
      <c r="G161" s="9" t="str">
        <f>VLOOKUP(A161, 'IADI Scatter'!$A$1:$D$15, 2, FALSE)</f>
        <v>Africa</v>
      </c>
    </row>
    <row r="162">
      <c r="A162" s="4" t="s">
        <v>20</v>
      </c>
      <c r="B162" s="5">
        <v>2020.0</v>
      </c>
      <c r="C162" s="5">
        <v>653.0</v>
      </c>
      <c r="D162" s="5">
        <v>5.85801394E8</v>
      </c>
      <c r="E162" s="5">
        <v>7.785278746E9</v>
      </c>
      <c r="F162" s="5">
        <v>0.0752</v>
      </c>
      <c r="G162" s="9" t="str">
        <f>VLOOKUP(A162, 'IADI Scatter'!$A$1:$D$15, 2, FALSE)</f>
        <v>Africa</v>
      </c>
    </row>
    <row r="163">
      <c r="A163" s="4" t="s">
        <v>20</v>
      </c>
      <c r="B163" s="5">
        <v>2021.0</v>
      </c>
      <c r="C163" s="5">
        <v>648.0</v>
      </c>
      <c r="D163" s="5">
        <v>6.56303972E8</v>
      </c>
      <c r="E163" s="5">
        <v>8.700345423E9</v>
      </c>
      <c r="F163" s="5">
        <v>0.0754</v>
      </c>
      <c r="G163" s="9" t="str">
        <f>VLOOKUP(A163, 'IADI Scatter'!$A$1:$D$15, 2, FALSE)</f>
        <v>Africa</v>
      </c>
    </row>
    <row r="164">
      <c r="A164" s="4" t="s">
        <v>20</v>
      </c>
      <c r="B164" s="5">
        <v>2022.0</v>
      </c>
      <c r="C164" s="5">
        <v>642.0</v>
      </c>
      <c r="D164" s="5">
        <v>7.27739726E8</v>
      </c>
      <c r="E164" s="5">
        <v>1.0017123288E10</v>
      </c>
      <c r="F164" s="5">
        <v>0.0726</v>
      </c>
      <c r="G164" s="9" t="str">
        <f>VLOOKUP(A164, 'IADI Scatter'!$A$1:$D$15, 2, FALSE)</f>
        <v>Africa</v>
      </c>
    </row>
    <row r="165">
      <c r="A165" s="4" t="s">
        <v>20</v>
      </c>
      <c r="B165" s="5">
        <v>2023.0</v>
      </c>
      <c r="C165" s="5">
        <v>2993.0</v>
      </c>
      <c r="D165" s="5">
        <v>7.54189944E8</v>
      </c>
      <c r="E165" s="5">
        <v>1.0893854749E10</v>
      </c>
      <c r="F165" s="5">
        <v>0.0692</v>
      </c>
      <c r="G165" s="9" t="str">
        <f>VLOOKUP(A165, 'IADI Scatter'!$A$1:$D$15, 2, FALSE)</f>
        <v>Africa</v>
      </c>
    </row>
    <row r="166">
      <c r="A166" s="4" t="s">
        <v>20</v>
      </c>
      <c r="B166" s="5">
        <v>2024.0</v>
      </c>
      <c r="C166" s="5">
        <v>2764.0</v>
      </c>
      <c r="D166" s="5">
        <v>7.74050866E8</v>
      </c>
      <c r="E166" s="5">
        <v>1.1979358644E10</v>
      </c>
      <c r="F166" s="5">
        <v>0.0646</v>
      </c>
      <c r="G166" s="9" t="str">
        <f>VLOOKUP(A166, 'IADI Scatter'!$A$1:$D$15, 2, FALSE)</f>
        <v>Africa</v>
      </c>
    </row>
    <row r="167">
      <c r="A167" s="4" t="s">
        <v>23</v>
      </c>
      <c r="B167" s="5">
        <v>2010.0</v>
      </c>
      <c r="C167" s="5">
        <v>250000.0</v>
      </c>
      <c r="D167" s="5">
        <v>-7.4E9</v>
      </c>
      <c r="E167" s="5">
        <v>5.4E12</v>
      </c>
      <c r="F167" s="5">
        <v>-0.0014</v>
      </c>
      <c r="G167" s="3" t="s">
        <v>9</v>
      </c>
    </row>
    <row r="168">
      <c r="A168" s="4" t="s">
        <v>23</v>
      </c>
      <c r="B168" s="5">
        <v>2011.0</v>
      </c>
      <c r="C168" s="5">
        <v>250000.0</v>
      </c>
      <c r="D168" s="5">
        <v>1.18E10</v>
      </c>
      <c r="E168" s="5">
        <v>6.3E12</v>
      </c>
      <c r="F168" s="5">
        <v>0.0019</v>
      </c>
      <c r="G168" s="3" t="s">
        <v>9</v>
      </c>
    </row>
    <row r="169">
      <c r="A169" s="4" t="s">
        <v>23</v>
      </c>
      <c r="B169" s="5">
        <v>2012.0</v>
      </c>
      <c r="C169" s="5">
        <v>250000.0</v>
      </c>
      <c r="D169" s="5">
        <v>2.5E10</v>
      </c>
      <c r="E169" s="5">
        <v>7.4E12</v>
      </c>
      <c r="F169" s="5">
        <v>0.0034</v>
      </c>
      <c r="G169" s="3" t="s">
        <v>9</v>
      </c>
    </row>
    <row r="170">
      <c r="A170" s="4" t="s">
        <v>23</v>
      </c>
      <c r="B170" s="5">
        <v>2013.0</v>
      </c>
      <c r="C170" s="5">
        <v>250000.0</v>
      </c>
      <c r="D170" s="5">
        <v>3.7E10</v>
      </c>
      <c r="E170" s="5">
        <v>7.0E12</v>
      </c>
      <c r="F170" s="5">
        <v>0.0053</v>
      </c>
      <c r="G170" s="3" t="s">
        <v>9</v>
      </c>
    </row>
    <row r="171">
      <c r="A171" s="4" t="s">
        <v>23</v>
      </c>
      <c r="B171" s="5">
        <v>2014.0</v>
      </c>
      <c r="C171" s="5">
        <v>250000.0</v>
      </c>
      <c r="D171" s="5">
        <v>5.5E10</v>
      </c>
      <c r="E171" s="5">
        <v>6.7E12</v>
      </c>
      <c r="F171" s="5">
        <v>0.0082</v>
      </c>
      <c r="G171" s="3" t="s">
        <v>9</v>
      </c>
    </row>
    <row r="172">
      <c r="A172" s="4" t="s">
        <v>23</v>
      </c>
      <c r="B172" s="5">
        <v>2015.0</v>
      </c>
      <c r="C172" s="5">
        <v>250000.0</v>
      </c>
      <c r="D172" s="5">
        <v>6.7E10</v>
      </c>
      <c r="E172" s="5">
        <v>6.4E12</v>
      </c>
      <c r="F172" s="5">
        <v>0.0105</v>
      </c>
      <c r="G172" s="3" t="s">
        <v>9</v>
      </c>
    </row>
    <row r="173">
      <c r="A173" s="4" t="s">
        <v>23</v>
      </c>
      <c r="B173" s="5">
        <v>2016.0</v>
      </c>
      <c r="C173" s="5">
        <v>250000.0</v>
      </c>
      <c r="D173" s="5">
        <v>7.7E10</v>
      </c>
      <c r="E173" s="5">
        <v>6.8E12</v>
      </c>
      <c r="F173" s="5">
        <v>0.0113</v>
      </c>
      <c r="G173" s="3" t="s">
        <v>9</v>
      </c>
    </row>
    <row r="174">
      <c r="A174" s="4" t="s">
        <v>23</v>
      </c>
      <c r="B174" s="5">
        <v>2017.0</v>
      </c>
      <c r="C174" s="5">
        <v>250000.0</v>
      </c>
      <c r="D174" s="5">
        <v>8.4E10</v>
      </c>
      <c r="E174" s="5">
        <v>7.1E12</v>
      </c>
      <c r="F174" s="5">
        <v>0.0118</v>
      </c>
      <c r="G174" s="3" t="s">
        <v>9</v>
      </c>
    </row>
    <row r="175">
      <c r="A175" s="4" t="s">
        <v>23</v>
      </c>
      <c r="B175" s="5">
        <v>2018.0</v>
      </c>
      <c r="C175" s="5">
        <v>250000.0</v>
      </c>
      <c r="D175" s="5">
        <v>1.0E11</v>
      </c>
      <c r="E175" s="5">
        <v>7.338E12</v>
      </c>
      <c r="F175" s="5">
        <v>0.0133</v>
      </c>
      <c r="G175" s="3" t="str">
        <f>VLOOKUP(A175, 'IADI Scatter'!$A$1:$D$15, 2, FALSE)</f>
        <v>Americas</v>
      </c>
    </row>
    <row r="176">
      <c r="A176" s="4" t="s">
        <v>23</v>
      </c>
      <c r="B176" s="5">
        <v>2019.0</v>
      </c>
      <c r="C176" s="5">
        <v>250000.0</v>
      </c>
      <c r="D176" s="5">
        <v>1.08E11</v>
      </c>
      <c r="E176" s="5">
        <v>7.66E12</v>
      </c>
      <c r="F176" s="5">
        <v>0.0141</v>
      </c>
      <c r="G176" s="3" t="str">
        <f>VLOOKUP(A176, 'IADI Scatter'!$A$1:$D$15, 2, FALSE)</f>
        <v>Americas</v>
      </c>
    </row>
    <row r="177">
      <c r="A177" s="4" t="s">
        <v>23</v>
      </c>
      <c r="B177" s="5">
        <v>2020.0</v>
      </c>
      <c r="C177" s="5">
        <v>250000.0</v>
      </c>
      <c r="D177" s="5">
        <v>1.17E11</v>
      </c>
      <c r="E177" s="5">
        <v>9.0E12</v>
      </c>
      <c r="F177" s="5">
        <v>0.013</v>
      </c>
      <c r="G177" s="3" t="str">
        <f>VLOOKUP(A177, 'IADI Scatter'!$A$1:$D$15, 2, FALSE)</f>
        <v>Americas</v>
      </c>
    </row>
    <row r="178">
      <c r="A178" s="4" t="s">
        <v>23</v>
      </c>
      <c r="B178" s="5">
        <v>2021.0</v>
      </c>
      <c r="C178" s="5">
        <v>250000.0</v>
      </c>
      <c r="D178" s="5">
        <v>1.24E11</v>
      </c>
      <c r="E178" s="5">
        <v>9.5E12</v>
      </c>
      <c r="F178" s="5">
        <v>0.0131</v>
      </c>
      <c r="G178" s="3" t="str">
        <f>VLOOKUP(A178, 'IADI Scatter'!$A$1:$D$15, 2, FALSE)</f>
        <v>Americas</v>
      </c>
    </row>
    <row r="179">
      <c r="A179" s="4" t="s">
        <v>23</v>
      </c>
      <c r="B179" s="5">
        <v>2022.0</v>
      </c>
      <c r="C179" s="5">
        <v>250000.0</v>
      </c>
      <c r="D179" s="5">
        <v>1.255E11</v>
      </c>
      <c r="E179" s="5">
        <v>9.9E12</v>
      </c>
      <c r="F179" s="5">
        <v>0.0127</v>
      </c>
      <c r="G179" s="3" t="str">
        <f>VLOOKUP(A179, 'IADI Scatter'!$A$1:$D$15, 2, FALSE)</f>
        <v>Americas</v>
      </c>
    </row>
    <row r="180">
      <c r="A180" s="4" t="s">
        <v>23</v>
      </c>
      <c r="B180" s="5">
        <v>2023.0</v>
      </c>
      <c r="C180" s="5">
        <v>250000.0</v>
      </c>
      <c r="D180" s="5">
        <v>1.16E11</v>
      </c>
      <c r="E180" s="5">
        <v>1.045E13</v>
      </c>
      <c r="F180" s="5">
        <v>0.0111</v>
      </c>
      <c r="G180" s="3" t="str">
        <f>VLOOKUP(A180, 'IADI Scatter'!$A$1:$D$15, 2, FALSE)</f>
        <v>Americas</v>
      </c>
    </row>
    <row r="181">
      <c r="A181" s="4" t="s">
        <v>23</v>
      </c>
      <c r="B181" s="5">
        <v>2024.0</v>
      </c>
      <c r="C181" s="5">
        <v>250000.0</v>
      </c>
      <c r="D181" s="5">
        <v>1.28E11</v>
      </c>
      <c r="E181" s="5">
        <v>1.0E13</v>
      </c>
      <c r="F181" s="5">
        <v>0.0128</v>
      </c>
      <c r="G181" s="3" t="str">
        <f>VLOOKUP(A181, 'IADI Scatter'!$A$1:$D$15, 2, FALSE)</f>
        <v>Americas</v>
      </c>
    </row>
    <row r="182">
      <c r="A182" s="4" t="s">
        <v>22</v>
      </c>
      <c r="B182" s="5">
        <v>2010.0</v>
      </c>
      <c r="C182" s="5">
        <v>1290.0</v>
      </c>
      <c r="D182" s="5">
        <v>3.4408602E7</v>
      </c>
      <c r="E182" s="5">
        <v>1.537634409E9</v>
      </c>
      <c r="F182" s="5">
        <v>0.0224</v>
      </c>
      <c r="G182" s="3" t="str">
        <f>VLOOKUP(A182, 'IADI Scatter'!$A$1:$D$15, 2, FALSE)</f>
        <v>Africa</v>
      </c>
    </row>
    <row r="183">
      <c r="A183" s="4" t="s">
        <v>22</v>
      </c>
      <c r="B183" s="5">
        <v>2011.0</v>
      </c>
      <c r="C183" s="5">
        <v>1189.0</v>
      </c>
      <c r="D183" s="5">
        <v>4.1617122E7</v>
      </c>
      <c r="E183" s="5">
        <v>1.743955608E9</v>
      </c>
      <c r="F183" s="5">
        <v>0.0239</v>
      </c>
      <c r="G183" s="3" t="str">
        <f>VLOOKUP(A183, 'IADI Scatter'!$A$1:$D$15, 2, FALSE)</f>
        <v>Africa</v>
      </c>
    </row>
    <row r="184">
      <c r="A184" s="4" t="s">
        <v>22</v>
      </c>
      <c r="B184" s="5">
        <v>2012.0</v>
      </c>
      <c r="C184" s="5">
        <v>1198.0</v>
      </c>
      <c r="D184" s="5">
        <v>5.508982E7</v>
      </c>
      <c r="E184" s="5">
        <v>2.085828343E9</v>
      </c>
      <c r="F184" s="5">
        <v>0.0264</v>
      </c>
      <c r="G184" s="3" t="str">
        <f>VLOOKUP(A184, 'IADI Scatter'!$A$1:$D$15, 2, FALSE)</f>
        <v>Africa</v>
      </c>
    </row>
    <row r="185">
      <c r="A185" s="4" t="s">
        <v>22</v>
      </c>
      <c r="B185" s="5">
        <v>2013.0</v>
      </c>
      <c r="C185" s="5">
        <v>1165.0</v>
      </c>
      <c r="D185" s="5">
        <v>6.9902913E7</v>
      </c>
      <c r="E185" s="5">
        <v>2.349514563E9</v>
      </c>
      <c r="F185" s="5">
        <v>0.0298</v>
      </c>
      <c r="G185" s="3" t="str">
        <f>VLOOKUP(A185, 'IADI Scatter'!$A$1:$D$15, 2, FALSE)</f>
        <v>Africa</v>
      </c>
    </row>
    <row r="186">
      <c r="A186" s="4" t="s">
        <v>22</v>
      </c>
      <c r="B186" s="5">
        <v>2014.0</v>
      </c>
      <c r="C186" s="5">
        <v>1154.0</v>
      </c>
      <c r="D186" s="5">
        <v>9.2307692E7</v>
      </c>
      <c r="E186" s="5">
        <v>2.75E9</v>
      </c>
      <c r="F186" s="5">
        <v>0.0336</v>
      </c>
      <c r="G186" s="3" t="str">
        <f>VLOOKUP(A186, 'IADI Scatter'!$A$1:$D$15, 2, FALSE)</f>
        <v>Africa</v>
      </c>
    </row>
    <row r="187">
      <c r="A187" s="4" t="s">
        <v>22</v>
      </c>
      <c r="B187" s="5">
        <v>2015.0</v>
      </c>
      <c r="C187" s="5">
        <v>928.0</v>
      </c>
      <c r="D187" s="5">
        <v>9.6784168E7</v>
      </c>
      <c r="E187" s="5">
        <v>2.551020408E9</v>
      </c>
      <c r="F187" s="5">
        <v>0.0379</v>
      </c>
      <c r="G187" s="3" t="str">
        <f>VLOOKUP(A187, 'IADI Scatter'!$A$1:$D$15, 2, FALSE)</f>
        <v>Africa</v>
      </c>
    </row>
    <row r="188">
      <c r="A188" s="4" t="s">
        <v>22</v>
      </c>
      <c r="B188" s="5">
        <v>2016.0</v>
      </c>
      <c r="C188" s="5">
        <v>896.0</v>
      </c>
      <c r="D188" s="5">
        <v>1.1641791E8</v>
      </c>
      <c r="E188" s="5">
        <v>2.708955224E9</v>
      </c>
      <c r="F188" s="5">
        <v>0.043</v>
      </c>
      <c r="G188" s="3" t="str">
        <f>VLOOKUP(A188, 'IADI Scatter'!$A$1:$D$15, 2, FALSE)</f>
        <v>Africa</v>
      </c>
    </row>
    <row r="189">
      <c r="A189" s="4" t="s">
        <v>22</v>
      </c>
      <c r="B189" s="5">
        <v>2017.0</v>
      </c>
      <c r="C189" s="5">
        <v>830.0</v>
      </c>
      <c r="D189" s="5">
        <v>1.30085801E8</v>
      </c>
      <c r="E189" s="5">
        <v>2.740105176E9</v>
      </c>
      <c r="F189" s="5">
        <v>0.0475</v>
      </c>
      <c r="G189" s="3" t="str">
        <f>VLOOKUP(A189, 'IADI Scatter'!$A$1:$D$15, 2, FALSE)</f>
        <v>Africa</v>
      </c>
    </row>
    <row r="190">
      <c r="A190" s="4" t="s">
        <v>22</v>
      </c>
      <c r="B190" s="5">
        <v>2018.0</v>
      </c>
      <c r="C190" s="5">
        <v>811.0</v>
      </c>
      <c r="D190" s="5">
        <v>1.55405405E8</v>
      </c>
      <c r="E190" s="5">
        <v>2.898648649E9</v>
      </c>
      <c r="F190" s="5">
        <v>0.0536</v>
      </c>
      <c r="G190" s="3" t="str">
        <f>VLOOKUP(A190, 'IADI Scatter'!$A$1:$D$15, 2, FALSE)</f>
        <v>Africa</v>
      </c>
    </row>
    <row r="191">
      <c r="A191" s="4" t="s">
        <v>22</v>
      </c>
      <c r="B191" s="5">
        <v>2019.0</v>
      </c>
      <c r="C191" s="5">
        <v>800.0</v>
      </c>
      <c r="D191" s="5">
        <v>1.85333333E8</v>
      </c>
      <c r="E191" s="5">
        <v>3.226666667E9</v>
      </c>
      <c r="F191" s="5">
        <v>0.0574</v>
      </c>
      <c r="G191" s="3" t="str">
        <f>VLOOKUP(A191, 'IADI Scatter'!$A$1:$D$15, 2, FALSE)</f>
        <v>Africa</v>
      </c>
    </row>
    <row r="192">
      <c r="A192" s="4" t="s">
        <v>22</v>
      </c>
      <c r="B192" s="5">
        <v>2020.0</v>
      </c>
      <c r="C192" s="5">
        <v>2703.0</v>
      </c>
      <c r="D192" s="5">
        <v>2.22702703E8</v>
      </c>
      <c r="E192" s="5">
        <v>4.743243243E9</v>
      </c>
      <c r="F192" s="5">
        <v>0.047</v>
      </c>
      <c r="G192" s="3" t="str">
        <f>VLOOKUP(A192, 'IADI Scatter'!$A$1:$D$15, 2, FALSE)</f>
        <v>Africa</v>
      </c>
    </row>
    <row r="193">
      <c r="A193" s="4" t="s">
        <v>22</v>
      </c>
      <c r="B193" s="5">
        <v>2021.0</v>
      </c>
      <c r="C193" s="5">
        <v>2825.0</v>
      </c>
      <c r="D193" s="5">
        <v>2.72881356E8</v>
      </c>
      <c r="E193" s="5">
        <v>5.692090395E9</v>
      </c>
      <c r="F193" s="5">
        <v>0.0479</v>
      </c>
      <c r="G193" s="3" t="str">
        <f>VLOOKUP(A193, 'IADI Scatter'!$A$1:$D$15, 2, FALSE)</f>
        <v>Africa</v>
      </c>
    </row>
    <row r="194">
      <c r="A194" s="4" t="s">
        <v>22</v>
      </c>
      <c r="B194" s="5">
        <v>2022.0</v>
      </c>
      <c r="C194" s="5">
        <v>2674.0</v>
      </c>
      <c r="D194" s="5">
        <v>3.07486631E8</v>
      </c>
      <c r="E194" s="5">
        <v>5.909090909E9</v>
      </c>
      <c r="F194" s="5">
        <v>0.052</v>
      </c>
      <c r="G194" s="3" t="str">
        <f>VLOOKUP(A194, 'IADI Scatter'!$A$1:$D$15, 2, FALSE)</f>
        <v>Africa</v>
      </c>
    </row>
    <row r="195">
      <c r="A195" s="4" t="s">
        <v>22</v>
      </c>
      <c r="B195" s="5">
        <v>2023.0</v>
      </c>
      <c r="C195" s="5">
        <v>2632.0</v>
      </c>
      <c r="D195" s="5">
        <v>3.68421053E8</v>
      </c>
      <c r="E195" s="5">
        <v>6.5E9</v>
      </c>
      <c r="F195" s="5">
        <v>0.0567</v>
      </c>
      <c r="G195" s="3" t="str">
        <f>VLOOKUP(A195, 'IADI Scatter'!$A$1:$D$15, 2, FALSE)</f>
        <v>Africa</v>
      </c>
    </row>
    <row r="196">
      <c r="A196" s="4" t="s">
        <v>22</v>
      </c>
      <c r="B196" s="5">
        <v>2024.0</v>
      </c>
      <c r="C196" s="5">
        <v>2640.0</v>
      </c>
      <c r="D196" s="5">
        <v>4.28194298E8</v>
      </c>
      <c r="E196" s="5">
        <v>7.378563886E9</v>
      </c>
      <c r="F196" s="5">
        <v>0.058</v>
      </c>
      <c r="G196" s="3" t="str">
        <f>VLOOKUP(A196, 'IADI Scatter'!$A$1:$D$15, 2, FALSE)</f>
        <v>Africa</v>
      </c>
    </row>
    <row r="197">
      <c r="A197" s="4" t="s">
        <v>28</v>
      </c>
      <c r="B197" s="5">
        <v>2010.0</v>
      </c>
      <c r="C197" s="5">
        <v>2696.0</v>
      </c>
      <c r="D197" s="5">
        <v>1.886995903E9</v>
      </c>
      <c r="E197" s="5">
        <v>2.9113651068E10</v>
      </c>
      <c r="F197" s="5">
        <v>0.0648</v>
      </c>
      <c r="G197" s="3" t="str">
        <f>VLOOKUP(A197, 'IADI Scatter'!$A$1:$D$15, 2, FALSE)</f>
        <v>Asia</v>
      </c>
    </row>
    <row r="198">
      <c r="A198" s="4" t="s">
        <v>28</v>
      </c>
      <c r="B198" s="5">
        <v>2011.0</v>
      </c>
      <c r="C198" s="5">
        <v>2438.0</v>
      </c>
      <c r="D198" s="5">
        <v>1.999024866E9</v>
      </c>
      <c r="E198" s="5">
        <v>3.1594344222E10</v>
      </c>
      <c r="F198" s="5">
        <v>0.0633</v>
      </c>
      <c r="G198" s="9" t="str">
        <f>VLOOKUP(A198, 'IADI Scatter'!$A$1:$D$15, 2, FALSE)</f>
        <v>Asia</v>
      </c>
    </row>
    <row r="199">
      <c r="A199" s="4" t="s">
        <v>28</v>
      </c>
      <c r="B199" s="5">
        <v>2012.0</v>
      </c>
      <c r="C199" s="5">
        <v>2401.0</v>
      </c>
      <c r="D199" s="5">
        <v>2.304589975E9</v>
      </c>
      <c r="E199" s="5">
        <v>3.6297292107E10</v>
      </c>
      <c r="F199" s="5">
        <v>0.0635</v>
      </c>
      <c r="G199" s="9" t="str">
        <f>VLOOKUP(A199, 'IADI Scatter'!$A$1:$D$15, 2, FALSE)</f>
        <v>Asia</v>
      </c>
    </row>
    <row r="200">
      <c r="A200" s="4" t="s">
        <v>28</v>
      </c>
      <c r="B200" s="5">
        <v>2013.0</v>
      </c>
      <c r="C200" s="5">
        <v>2377.0</v>
      </c>
      <c r="D200" s="5">
        <v>2.662103061E9</v>
      </c>
      <c r="E200" s="5">
        <v>4.1928123217E10</v>
      </c>
      <c r="F200" s="5">
        <v>0.0635</v>
      </c>
      <c r="G200" s="9" t="str">
        <f>VLOOKUP(A200, 'IADI Scatter'!$A$1:$D$15, 2, FALSE)</f>
        <v>Asia</v>
      </c>
    </row>
    <row r="201">
      <c r="A201" s="4" t="s">
        <v>28</v>
      </c>
      <c r="B201" s="5">
        <v>2014.0</v>
      </c>
      <c r="C201" s="5">
        <v>2364.0</v>
      </c>
      <c r="D201" s="5">
        <v>3.073576698E9</v>
      </c>
      <c r="E201" s="5">
        <v>4.8515226026E10</v>
      </c>
      <c r="F201" s="5">
        <v>0.0634</v>
      </c>
      <c r="G201" s="9" t="str">
        <f>VLOOKUP(A201, 'IADI Scatter'!$A$1:$D$15, 2, FALSE)</f>
        <v>Asia</v>
      </c>
    </row>
    <row r="202">
      <c r="A202" s="4" t="s">
        <v>28</v>
      </c>
      <c r="B202" s="5">
        <v>2015.0</v>
      </c>
      <c r="C202" s="5">
        <v>2304.0</v>
      </c>
      <c r="D202" s="5">
        <v>3.456699083E9</v>
      </c>
      <c r="E202" s="5">
        <v>5.3924505692E10</v>
      </c>
      <c r="F202" s="5">
        <v>0.0641</v>
      </c>
      <c r="G202" s="9" t="str">
        <f>VLOOKUP(A202, 'IADI Scatter'!$A$1:$D$15, 2, FALSE)</f>
        <v>Asia</v>
      </c>
    </row>
    <row r="203">
      <c r="A203" s="4" t="s">
        <v>28</v>
      </c>
      <c r="B203" s="5">
        <v>2016.0</v>
      </c>
      <c r="C203" s="5">
        <v>2256.0</v>
      </c>
      <c r="D203" s="5">
        <v>3.92599278E9</v>
      </c>
      <c r="E203" s="5">
        <v>6.0108303249E10</v>
      </c>
      <c r="F203" s="5">
        <v>0.0653</v>
      </c>
      <c r="G203" s="9" t="str">
        <f>VLOOKUP(A203, 'IADI Scatter'!$A$1:$D$15, 2, FALSE)</f>
        <v>Asia</v>
      </c>
    </row>
    <row r="204">
      <c r="A204" s="4" t="s">
        <v>28</v>
      </c>
      <c r="B204" s="5">
        <v>2017.0</v>
      </c>
      <c r="C204" s="5">
        <v>3300.0</v>
      </c>
      <c r="D204" s="5">
        <v>4.400440044E9</v>
      </c>
      <c r="E204" s="5">
        <v>8.1320132013E10</v>
      </c>
      <c r="F204" s="5">
        <v>0.0541</v>
      </c>
      <c r="G204" s="9" t="str">
        <f>VLOOKUP(A204, 'IADI Scatter'!$A$1:$D$15, 2, FALSE)</f>
        <v>Asia</v>
      </c>
    </row>
    <row r="205">
      <c r="A205" s="4" t="s">
        <v>28</v>
      </c>
      <c r="B205" s="5">
        <v>2018.0</v>
      </c>
      <c r="C205" s="5">
        <v>3217.0</v>
      </c>
      <c r="D205" s="5">
        <v>4.933293295E9</v>
      </c>
      <c r="E205" s="5">
        <v>8.9657243362E10</v>
      </c>
      <c r="F205" s="5">
        <v>0.055</v>
      </c>
      <c r="G205" s="9" t="str">
        <f>VLOOKUP(A205, 'IADI Scatter'!$A$1:$D$15, 2, FALSE)</f>
        <v>Asia</v>
      </c>
    </row>
    <row r="206">
      <c r="A206" s="4" t="s">
        <v>28</v>
      </c>
      <c r="B206" s="5">
        <v>2019.0</v>
      </c>
      <c r="C206" s="5">
        <v>3230.0</v>
      </c>
      <c r="D206" s="5">
        <v>5.640959394E9</v>
      </c>
      <c r="E206" s="5">
        <v>1.01365026052E11</v>
      </c>
      <c r="F206" s="5">
        <v>0.0556</v>
      </c>
      <c r="G206" s="9" t="str">
        <f>VLOOKUP(A206, 'IADI Scatter'!$A$1:$D$15, 2, FALSE)</f>
        <v>Asia</v>
      </c>
    </row>
    <row r="207">
      <c r="A207" s="4" t="s">
        <v>28</v>
      </c>
      <c r="B207" s="5">
        <v>2020.0</v>
      </c>
      <c r="C207" s="5">
        <v>3232.0</v>
      </c>
      <c r="D207" s="5">
        <v>6.377111341E9</v>
      </c>
      <c r="E207" s="5">
        <v>1.11857980007E11</v>
      </c>
      <c r="F207" s="5">
        <v>0.057</v>
      </c>
      <c r="G207" s="9" t="str">
        <f>VLOOKUP(A207, 'IADI Scatter'!$A$1:$D$15, 2, FALSE)</f>
        <v>Asia</v>
      </c>
    </row>
    <row r="208">
      <c r="A208" s="4" t="s">
        <v>28</v>
      </c>
      <c r="B208" s="5">
        <v>2021.0</v>
      </c>
      <c r="C208" s="5">
        <v>3264.0</v>
      </c>
      <c r="D208" s="5">
        <v>7.180781617E9</v>
      </c>
      <c r="E208" s="5">
        <v>1.24466881365E11</v>
      </c>
      <c r="F208" s="5">
        <v>0.0577</v>
      </c>
      <c r="G208" s="9" t="str">
        <f>VLOOKUP(A208, 'IADI Scatter'!$A$1:$D$15, 2, FALSE)</f>
        <v>Asia</v>
      </c>
    </row>
    <row r="209">
      <c r="A209" s="4" t="s">
        <v>28</v>
      </c>
      <c r="B209" s="5">
        <v>2022.0</v>
      </c>
      <c r="C209" s="5">
        <v>3167.0</v>
      </c>
      <c r="D209" s="5">
        <v>7.726735349E9</v>
      </c>
      <c r="E209" s="5">
        <v>1.31903394697E11</v>
      </c>
      <c r="F209" s="5">
        <v>0.0586</v>
      </c>
      <c r="G209" s="9" t="str">
        <f>VLOOKUP(A209, 'IADI Scatter'!$A$1:$D$15, 2, FALSE)</f>
        <v>Asia</v>
      </c>
    </row>
    <row r="210">
      <c r="A210" s="4" t="s">
        <v>28</v>
      </c>
      <c r="B210" s="5">
        <v>2023.0</v>
      </c>
      <c r="C210" s="5">
        <v>3120.0</v>
      </c>
      <c r="D210" s="5">
        <v>8.320159747E9</v>
      </c>
      <c r="E210" s="5">
        <v>1.37282635827E11</v>
      </c>
      <c r="F210" s="5">
        <v>0.0606</v>
      </c>
      <c r="G210" s="9" t="str">
        <f>VLOOKUP(A210, 'IADI Scatter'!$A$1:$D$15, 2, FALSE)</f>
        <v>Asia</v>
      </c>
    </row>
    <row r="211">
      <c r="A211" s="4" t="s">
        <v>28</v>
      </c>
      <c r="B211" s="5">
        <v>2024.0</v>
      </c>
      <c r="C211" s="5">
        <v>5102.0</v>
      </c>
      <c r="D211" s="5">
        <v>8.979591837E9</v>
      </c>
      <c r="E211" s="5">
        <v>1.82857142857E11</v>
      </c>
      <c r="F211" s="5">
        <v>0.0491</v>
      </c>
      <c r="G211" s="9" t="str">
        <f>VLOOKUP(A211, 'IADI Scatter'!$A$1:$D$15, 2, FALSE)</f>
        <v>Asia</v>
      </c>
    </row>
  </sheetData>
  <customSheetViews>
    <customSheetView guid="{0AD7C243-1EDA-4510-BBD8-9FB4800104FC}" filter="1" showAutoFilter="1">
      <autoFilter ref="$A$1:$G$211"/>
    </customSheetView>
  </customSheetView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s>
  <sheetData>
    <row r="1">
      <c r="A1" s="1" t="s">
        <v>0</v>
      </c>
    </row>
  </sheetData>
  <drawing r:id="rId1"/>
</worksheet>
</file>